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e Globale des Racks" sheetId="1" r:id="rId4"/>
    <sheet state="visible" name="Allée 1" sheetId="2" r:id="rId5"/>
    <sheet state="visible" name="Allée 2" sheetId="3" r:id="rId6"/>
    <sheet state="visible" name="Allée 3" sheetId="4" r:id="rId7"/>
    <sheet state="visible" name="Zone de Picking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Allée A = À gauche du rideau de fer de la reception
B, C, D à la suite vers Fibraction</t>
      </text>
    </comment>
    <comment authorId="0" ref="C5">
      <text>
        <t xml:space="preserve">Allée A = À gauche du rideau de fer de la reception
B, C, D à la suite vers Fibraction</t>
      </text>
    </comment>
    <comment authorId="0" ref="D5">
      <text>
        <t xml:space="preserve">N1 = RDC
N2, N3 en haut</t>
      </text>
    </comment>
  </commentList>
</comments>
</file>

<file path=xl/sharedStrings.xml><?xml version="1.0" encoding="utf-8"?>
<sst xmlns="http://schemas.openxmlformats.org/spreadsheetml/2006/main" count="593" uniqueCount="281">
  <si>
    <t>Nbre d'emplacements 'VIDE"</t>
  </si>
  <si>
    <t>LOCALISATION</t>
  </si>
  <si>
    <t>PALETTE</t>
  </si>
  <si>
    <t>ALLÉE</t>
  </si>
  <si>
    <t>RACK</t>
  </si>
  <si>
    <t>EMPLACEMENT</t>
  </si>
  <si>
    <t>HAUTEUR PAL MAX</t>
  </si>
  <si>
    <t>Actuellement à l'emplacement ?</t>
  </si>
  <si>
    <t>ALLÉE 1</t>
  </si>
  <si>
    <t>A</t>
  </si>
  <si>
    <t>A001</t>
  </si>
  <si>
    <t>A002</t>
  </si>
  <si>
    <t>A003</t>
  </si>
  <si>
    <t>A004</t>
  </si>
  <si>
    <t>A005</t>
  </si>
  <si>
    <t>A101</t>
  </si>
  <si>
    <t>A102</t>
  </si>
  <si>
    <t>A103</t>
  </si>
  <si>
    <t>A104</t>
  </si>
  <si>
    <t>A105</t>
  </si>
  <si>
    <t>A201</t>
  </si>
  <si>
    <t>A202</t>
  </si>
  <si>
    <t>A203</t>
  </si>
  <si>
    <t>A204</t>
  </si>
  <si>
    <t>A205</t>
  </si>
  <si>
    <t>B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</si>
  <si>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</si>
  <si>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</si>
  <si>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</si>
  <si>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</si>
  <si>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</si>
  <si>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</si>
  <si>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</si>
  <si>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</si>
  <si>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</si>
  <si>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</si>
  <si>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</si>
  <si>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</si>
  <si>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</si>
  <si>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</si>
  <si>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</si>
  <si>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</si>
  <si>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</si>
  <si>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</si>
  <si>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</si>
  <si>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</si>
  <si>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</si>
  <si>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</si>
  <si>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</si>
  <si>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</si>
  <si>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</si>
  <si>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</si>
  <si>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</si>
  <si>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</si>
  <si>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</si>
  <si>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</si>
  <si>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</si>
  <si>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</si>
  <si>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</si>
  <si>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ALLÉE 2</t>
  </si>
  <si>
    <t>C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</si>
  <si>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</si>
  <si>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</si>
  <si>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</si>
  <si>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</si>
  <si>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</si>
  <si>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</si>
  <si>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</si>
  <si>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</si>
  <si>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</si>
  <si>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</si>
  <si>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</si>
  <si>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</si>
  <si>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</si>
  <si>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</si>
  <si>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</si>
  <si>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</si>
  <si>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</si>
  <si>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</si>
  <si>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</si>
  <si>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</si>
  <si>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</si>
  <si>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</si>
  <si>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</si>
  <si>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</si>
  <si>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</si>
  <si>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</si>
  <si>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</si>
  <si>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</si>
  <si>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</si>
  <si>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</si>
  <si>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</si>
  <si>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</si>
  <si>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</si>
  <si>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</si>
  <si>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</si>
  <si>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</si>
  <si>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</si>
  <si>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</si>
  <si>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</si>
  <si>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</si>
  <si>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</si>
  <si>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</si>
  <si>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</si>
  <si>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</si>
  <si>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</si>
  <si>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</si>
  <si>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</si>
  <si>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</si>
  <si>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</si>
  <si>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</si>
  <si>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</si>
  <si>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</si>
  <si>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</si>
  <si>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</si>
  <si>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</si>
  <si>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</si>
  <si>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</si>
  <si>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</si>
  <si>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</si>
  <si>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</si>
  <si>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</si>
  <si>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ALLÉE 3</t>
  </si>
  <si>
    <t>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</si>
  <si>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</si>
  <si>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</si>
  <si>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</si>
  <si>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</si>
  <si>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</si>
  <si>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</si>
  <si>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</si>
  <si>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</si>
  <si>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</si>
  <si>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</si>
  <si>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</si>
  <si>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</si>
  <si>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</si>
  <si>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</si>
  <si>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</si>
  <si>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</si>
  <si>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</si>
  <si>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</si>
  <si>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</si>
  <si>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</si>
  <si>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</si>
  <si>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</si>
  <si>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</si>
  <si>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</si>
  <si>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</si>
  <si>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</si>
  <si>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</si>
  <si>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F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</si>
  <si>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</si>
  <si>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</si>
  <si>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</si>
  <si>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</si>
  <si>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</si>
  <si>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</si>
  <si>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</si>
  <si>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</si>
  <si>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</si>
  <si>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</si>
  <si>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</si>
  <si>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</si>
  <si>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</si>
  <si>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</si>
  <si>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</si>
  <si>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</si>
  <si>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</si>
  <si>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</si>
  <si>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</si>
  <si>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</si>
  <si>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</si>
  <si>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</si>
  <si>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</si>
  <si>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</si>
  <si>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</si>
  <si>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</si>
  <si>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</si>
  <si>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ZONE DE PICKING</t>
  </si>
  <si>
    <t>G</t>
  </si>
  <si>
    <t>G001</t>
  </si>
  <si>
    <t>G002</t>
  </si>
  <si>
    <t>G101</t>
  </si>
  <si>
    <t>G102</t>
  </si>
  <si>
    <t>G201</t>
  </si>
  <si>
    <t>G202</t>
  </si>
  <si>
    <t>ESPACE</t>
  </si>
  <si>
    <t>1m28</t>
  </si>
  <si>
    <t>⚠️
Impossible de stocker</t>
  </si>
  <si>
    <t>Complexe PDP 01/10/2028</t>
  </si>
  <si>
    <t>Porte</t>
  </si>
  <si>
    <t>d'entrée</t>
  </si>
  <si>
    <t>Complexe Sommeil 26/10/2028</t>
  </si>
  <si>
    <t>1m80</t>
  </si>
  <si>
    <t>Complexe Meno 12/11/2028</t>
  </si>
  <si>
    <t>Volet Roulant</t>
  </si>
  <si>
    <t>&lt; &lt; &lt;         Allée 1        &lt; &lt; &lt;</t>
  </si>
  <si>
    <t>Méno
08/12/28</t>
  </si>
  <si>
    <t>Complexe PDP 24/11/2028</t>
  </si>
  <si>
    <t>Complexe PDP
10/2028</t>
  </si>
  <si>
    <t>COUPE FAIM
12/28</t>
  </si>
  <si>
    <t>Complexe Méno
12/11/2028</t>
  </si>
  <si>
    <t>Complexe PDP
29/10/2028</t>
  </si>
  <si>
    <t>Complexe Coupe-Faim
27/10/2028</t>
  </si>
  <si>
    <t>Complexe PDP 29/10/2028</t>
  </si>
  <si>
    <t>Complexe PDP 10/2028</t>
  </si>
  <si>
    <t>Copupr faim
12/28</t>
  </si>
  <si>
    <t>POIDS
11/28</t>
  </si>
  <si>
    <t>poids
11/28</t>
  </si>
  <si>
    <t>65cm</t>
  </si>
  <si>
    <t>Coupe-faim
12/28</t>
  </si>
  <si>
    <t>Poids
24/11/28</t>
  </si>
  <si>
    <t>Poids
11/28</t>
  </si>
  <si>
    <t xml:space="preserve">
Sommeil
11/28</t>
  </si>
  <si>
    <t>POPIDS
11/28</t>
  </si>
  <si>
    <t>Méno
12/28</t>
  </si>
  <si>
    <t xml:space="preserve">⚠️
Impossible de stocker"        
        </t>
  </si>
  <si>
    <t>Complexe PDP
14/07/2028</t>
  </si>
  <si>
    <t>1m15</t>
  </si>
  <si>
    <t>SOMMEIL
11/28</t>
  </si>
  <si>
    <t>Complexe Méno
02/09/2028</t>
  </si>
  <si>
    <t>Enveloppes
ENV20
2 flacons</t>
  </si>
  <si>
    <t>Carton
6 flacons</t>
  </si>
  <si>
    <t>C/3
EXTRA</t>
  </si>
  <si>
    <t>Complexe Sommeil
05/10/2028</t>
  </si>
  <si>
    <t>coupe faim
12/28</t>
  </si>
  <si>
    <t>Complexe Coupe-Faim
08/2028</t>
  </si>
  <si>
    <t>Carton
12 Flacons</t>
  </si>
  <si>
    <t>&lt; &lt; &lt;     Allée 2     &lt; &lt; &lt;</t>
  </si>
  <si>
    <t>Toilettes</t>
  </si>
  <si>
    <t>1m30</t>
  </si>
  <si>
    <t>Complexe PDP
01/10/2028</t>
  </si>
  <si>
    <t>Complexe Méno
23/06/2028</t>
  </si>
  <si>
    <t>Complexe Poids
14/07/2028</t>
  </si>
  <si>
    <t>Complexe PDP
24/11/2028</t>
  </si>
  <si>
    <t xml:space="preserve">Complexe anxiete, peurs
10/2028        
        </t>
  </si>
  <si>
    <t>Complexe Coupe-Faim
31/08/2028</t>
  </si>
  <si>
    <t>méno
12/28</t>
  </si>
  <si>
    <t>TDO
Je rayonne
jour après jour</t>
  </si>
  <si>
    <t>TDO
Quartz
Moyen troué
Moyen non-toué</t>
  </si>
  <si>
    <t>TDO
Oracle de
la lune</t>
  </si>
  <si>
    <t>coupe-faim
12/28</t>
  </si>
  <si>
    <t>sommeil
11/28</t>
  </si>
  <si>
    <r>
      <rPr>
        <rFont val="Arial"/>
        <b/>
        <color theme="1"/>
        <sz val="12.0"/>
      </rPr>
      <t xml:space="preserve">B/2
eco
</t>
    </r>
    <r>
      <rPr>
        <rFont val="Arial"/>
        <b/>
        <color rgb="FFFF0000"/>
        <sz val="12.0"/>
      </rPr>
      <t>PETITE PALETTE
CAR NEON</t>
    </r>
  </si>
  <si>
    <t>POSTE DE TRAVAIL</t>
  </si>
  <si>
    <t xml:space="preserve">POIDS11/28	
	</t>
  </si>
  <si>
    <t>E/5
EXTRA</t>
  </si>
  <si>
    <t>anxiet
11/28</t>
  </si>
  <si>
    <t>B/2
eco</t>
  </si>
  <si>
    <t>D/4
eco</t>
  </si>
  <si>
    <t>Enveloppes
Facteur Livre
ENV50</t>
  </si>
  <si>
    <t>Stock sécu 
poids 3 flacons</t>
  </si>
  <si>
    <t>Stock sécu 
poids 2 flacons</t>
  </si>
  <si>
    <t>Stock sécu 
poids 1 flacon</t>
  </si>
  <si>
    <t>Stock sécu 
Méno 2 flacons</t>
  </si>
  <si>
    <t>Stock sécu 
pack minceur</t>
  </si>
  <si>
    <t>Stock Sécu
Bloc Box</t>
  </si>
  <si>
    <t>&gt; &gt; &gt;    Allée 3     &gt; &gt; &gt;</t>
  </si>
  <si>
    <t>K &amp; S
PARFUMS
Stock</t>
  </si>
  <si>
    <t>Stock sécu 
C/3
EXTRA</t>
  </si>
  <si>
    <t>Divers
Famillia
WEB2CO</t>
  </si>
  <si>
    <t>TDO
defunts
fees
abondance
univers
energie et créa</t>
  </si>
  <si>
    <t>TDO
Carnet Emotions
Carnet Gratitude
Carnet des Emotions</t>
  </si>
  <si>
    <t>TDO
Oracle Mantras
Oracle Message de l'amour</t>
  </si>
  <si>
    <t>Stock Sécu
4 Flacons</t>
  </si>
  <si>
    <t>Stock Sécu
6 Flacons</t>
  </si>
  <si>
    <t>TDO
Oracle des flammes
jumelles</t>
  </si>
  <si>
    <t>TDO
Carnet de Lune</t>
  </si>
  <si>
    <t>TDO
Oracle pratique du Yoga</t>
  </si>
  <si>
    <t xml:space="preserve">C/3
ECO
</t>
  </si>
  <si>
    <t xml:space="preserve">J/9
EXTRA
</t>
  </si>
  <si>
    <t xml:space="preserve">⚠️
Impossible de stocker
</t>
  </si>
  <si>
    <t>TDO</t>
  </si>
  <si>
    <t>Message de l'âme</t>
  </si>
  <si>
    <t xml:space="preserve">TDO
carnet envies
carnet intuitions
</t>
  </si>
  <si>
    <t>TDO
Oracle
Essence du Yoga</t>
  </si>
  <si>
    <t>Consommables 
ANGELS
UNIVERSE</t>
  </si>
  <si>
    <t>0cm</t>
  </si>
  <si>
    <t>Coffret 
Angels Universe</t>
  </si>
  <si>
    <t>Consommables
Angels universe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</si>
</sst>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b/>
      <sz val="51.0"/>
      <color theme="1"/>
      <name val="Arial"/>
      <scheme val="minor"/>
    </font>
    <font>
      <b/>
      <sz val="36.0"/>
      <color theme="1"/>
      <name val="Arial"/>
      <scheme val="minor"/>
    </font>
    <font>
      <b/>
      <sz val="17.0"/>
      <color theme="1"/>
      <name val="Arial"/>
      <scheme val="minor"/>
    </font>
    <font>
      <b/>
      <sz val="23.0"/>
      <color theme="1"/>
      <name val="Arial"/>
      <scheme val="minor"/>
    </font>
    <font>
      <b/>
      <sz val="16.0"/>
      <color theme="1"/>
      <name val="Arial"/>
      <scheme val="minor"/>
    </font>
    <font>
      <b/>
      <sz val="19.0"/>
      <color theme="1"/>
      <name val="Arial"/>
      <scheme val="minor"/>
    </font>
    <font>
      <sz val="12.0"/>
      <color theme="1"/>
      <name val="Arial"/>
      <scheme val="minor"/>
    </font>
    <font>
      <sz val="19.0"/>
      <color theme="1"/>
      <name val="Arial"/>
      <scheme val="minor"/>
    </font>
    <font>
      <b/>
      <sz val="29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7" fillId="3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8" fillId="3" fontId="4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textRotation="255" vertical="center"/>
    </xf>
    <xf borderId="9" fillId="0" fontId="6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/>
    </xf>
    <xf borderId="12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readingOrder="0" textRotation="255" vertical="center"/>
    </xf>
    <xf borderId="22" fillId="0" fontId="3" numFmtId="0" xfId="0" applyBorder="1" applyFont="1"/>
    <xf borderId="23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27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/>
    </xf>
    <xf borderId="22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textRotation="90" vertical="center"/>
    </xf>
    <xf borderId="0" fillId="0" fontId="8" numFmtId="0" xfId="0" applyAlignment="1" applyFont="1">
      <alignment horizontal="center" readingOrder="0" textRotation="90" vertical="center"/>
    </xf>
    <xf borderId="0" fillId="4" fontId="2" numFmtId="0" xfId="0" applyAlignment="1" applyFill="1" applyFont="1">
      <alignment horizontal="center" readingOrder="0" textRotation="90" vertical="center"/>
    </xf>
    <xf borderId="29" fillId="0" fontId="1" numFmtId="0" xfId="0" applyBorder="1" applyFont="1"/>
    <xf borderId="0" fillId="4" fontId="4" numFmtId="0" xfId="0" applyAlignment="1" applyFont="1">
      <alignment horizontal="center" readingOrder="0" textRotation="90" vertical="center"/>
    </xf>
    <xf borderId="0" fillId="0" fontId="8" numFmtId="0" xfId="0" applyAlignment="1" applyFont="1">
      <alignment horizontal="center" readingOrder="0" shrinkToFit="0" textRotation="90" vertical="center" wrapText="1"/>
    </xf>
    <xf borderId="0" fillId="0" fontId="1" numFmtId="0" xfId="0" applyFont="1"/>
    <xf borderId="30" fillId="0" fontId="3" numFmtId="0" xfId="0" applyBorder="1" applyFont="1"/>
    <xf borderId="0" fillId="5" fontId="9" numFmtId="0" xfId="0" applyAlignment="1" applyFill="1" applyFont="1">
      <alignment horizontal="center" readingOrder="0" vertical="center"/>
    </xf>
    <xf borderId="0" fillId="5" fontId="1" numFmtId="0" xfId="0" applyFont="1"/>
    <xf borderId="0" fillId="0" fontId="4" numFmtId="0" xfId="0" applyAlignment="1" applyFont="1">
      <alignment horizontal="center" readingOrder="0" shrinkToFit="0" vertical="center" wrapText="1"/>
    </xf>
    <xf borderId="29" fillId="0" fontId="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29" fillId="0" fontId="11" numFmtId="0" xfId="0" applyAlignment="1" applyBorder="1" applyFont="1">
      <alignment horizontal="center" readingOrder="0" vertical="center"/>
    </xf>
    <xf borderId="0" fillId="6" fontId="1" numFmtId="0" xfId="0" applyFill="1" applyFont="1"/>
    <xf borderId="29" fillId="6" fontId="1" numFmtId="0" xfId="0" applyBorder="1" applyFont="1"/>
    <xf borderId="0" fillId="5" fontId="12" numFmtId="0" xfId="0" applyFont="1"/>
    <xf borderId="0" fillId="0" fontId="13" numFmtId="0" xfId="0" applyAlignment="1" applyFont="1">
      <alignment horizontal="center" readingOrder="0" vertical="center"/>
    </xf>
    <xf borderId="31" fillId="7" fontId="14" numFmtId="0" xfId="0" applyAlignment="1" applyBorder="1" applyFill="1" applyFont="1">
      <alignment horizontal="center" readingOrder="0" shrinkToFit="0" textRotation="90" vertical="center" wrapText="1"/>
    </xf>
    <xf borderId="32" fillId="0" fontId="3" numFmtId="0" xfId="0" applyBorder="1" applyFont="1"/>
    <xf borderId="33" fillId="0" fontId="13" numFmtId="0" xfId="0" applyAlignment="1" applyBorder="1" applyFont="1">
      <alignment horizontal="center" readingOrder="0" vertical="center"/>
    </xf>
    <xf borderId="33" fillId="0" fontId="3" numFmtId="0" xfId="0" applyBorder="1" applyFont="1"/>
    <xf borderId="0" fillId="4" fontId="1" numFmtId="0" xfId="0" applyFont="1"/>
    <xf borderId="33" fillId="0" fontId="11" numFmtId="0" xfId="0" applyAlignment="1" applyBorder="1" applyFont="1">
      <alignment horizontal="center" readingOrder="0" vertical="center"/>
    </xf>
    <xf borderId="34" fillId="0" fontId="11" numFmtId="0" xfId="0" applyAlignment="1" applyBorder="1" applyFont="1">
      <alignment horizontal="center" readingOrder="0"/>
    </xf>
    <xf borderId="33" fillId="4" fontId="1" numFmtId="0" xfId="0" applyBorder="1" applyFont="1"/>
    <xf borderId="34" fillId="0" fontId="11" numFmtId="0" xfId="0" applyAlignment="1" applyBorder="1" applyFont="1">
      <alignment horizontal="center" readingOrder="0" vertical="center"/>
    </xf>
    <xf borderId="35" fillId="0" fontId="3" numFmtId="0" xfId="0" applyBorder="1" applyFont="1"/>
    <xf borderId="30" fillId="0" fontId="4" numFmtId="0" xfId="0" applyAlignment="1" applyBorder="1" applyFont="1">
      <alignment horizontal="center" readingOrder="0" shrinkToFit="0" vertical="center" wrapText="1"/>
    </xf>
    <xf borderId="36" fillId="0" fontId="4" numFmtId="0" xfId="0" applyAlignment="1" applyBorder="1" applyFont="1">
      <alignment horizontal="center" readingOrder="0" shrinkToFit="0" vertical="center" wrapText="1"/>
    </xf>
    <xf borderId="30" fillId="6" fontId="1" numFmtId="0" xfId="0" applyBorder="1" applyFont="1"/>
    <xf borderId="29" fillId="0" fontId="3" numFmtId="0" xfId="0" applyBorder="1" applyFont="1"/>
    <xf borderId="29" fillId="0" fontId="11" numFmtId="0" xfId="0" applyAlignment="1" applyBorder="1" applyFont="1">
      <alignment horizontal="center" readingOrder="0"/>
    </xf>
    <xf borderId="36" fillId="0" fontId="3" numFmtId="0" xfId="0" applyBorder="1" applyFont="1"/>
    <xf borderId="36" fillId="6" fontId="1" numFmtId="0" xfId="0" applyBorder="1" applyFont="1"/>
    <xf borderId="36" fillId="0" fontId="11" numFmtId="0" xfId="0" applyAlignment="1" applyBorder="1" applyFont="1">
      <alignment horizontal="center" readingOrder="0"/>
    </xf>
    <xf borderId="36" fillId="0" fontId="11" numFmtId="0" xfId="0" applyAlignment="1" applyBorder="1" applyFont="1">
      <alignment horizontal="center" readingOrder="0" vertical="center"/>
    </xf>
    <xf borderId="30" fillId="0" fontId="1" numFmtId="0" xfId="0" applyBorder="1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horizontal="center" readingOrder="0" shrinkToFit="0" wrapText="1"/>
    </xf>
    <xf borderId="0" fillId="4" fontId="1" numFmtId="0" xfId="0" applyAlignment="1" applyFont="1">
      <alignment shrinkToFit="0" wrapText="1"/>
    </xf>
    <xf borderId="29" fillId="0" fontId="1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textRotation="90" vertical="center" wrapText="1"/>
    </xf>
    <xf borderId="0" fillId="0" fontId="15" numFmtId="0" xfId="0" applyAlignment="1" applyFont="1">
      <alignment horizontal="center" readingOrder="0" shrinkToFit="0" vertical="center" wrapText="1"/>
    </xf>
    <xf borderId="30" fillId="0" fontId="15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textRotation="0" vertical="center" wrapText="1"/>
    </xf>
    <xf borderId="36" fillId="0" fontId="11" numFmtId="0" xfId="0" applyAlignment="1" applyBorder="1" applyFont="1">
      <alignment horizontal="center" readingOrder="0" shrinkToFit="0" textRotation="0" vertical="center" wrapText="1"/>
    </xf>
    <xf borderId="29" fillId="0" fontId="11" numFmtId="0" xfId="0" applyAlignment="1" applyBorder="1" applyFont="1">
      <alignment horizontal="center" readingOrder="0" shrinkToFit="0" vertical="center" wrapText="1"/>
    </xf>
    <xf borderId="36" fillId="0" fontId="11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shrinkToFit="0" wrapText="1"/>
    </xf>
    <xf borderId="30" fillId="6" fontId="1" numFmtId="0" xfId="0" applyAlignment="1" applyBorder="1" applyFont="1">
      <alignment shrinkToFit="0" wrapText="1"/>
    </xf>
    <xf borderId="29" fillId="6" fontId="1" numFmtId="0" xfId="0" applyAlignment="1" applyBorder="1" applyFont="1">
      <alignment shrinkToFit="0" wrapText="1"/>
    </xf>
    <xf borderId="36" fillId="6" fontId="1" numFmtId="0" xfId="0" applyAlignment="1" applyBorder="1" applyFont="1">
      <alignment shrinkToFit="0" wrapText="1"/>
    </xf>
    <xf borderId="29" fillId="0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6" fillId="0" fontId="1" numFmtId="0" xfId="0" applyAlignment="1" applyBorder="1" applyFont="1">
      <alignment horizontal="center" readingOrder="0" shrinkToFit="0" vertical="center" wrapText="1"/>
    </xf>
    <xf borderId="36" fillId="0" fontId="15" numFmtId="0" xfId="0" applyAlignment="1" applyBorder="1" applyFont="1">
      <alignment horizontal="center" readingOrder="0" shrinkToFit="0" vertical="center" wrapText="1"/>
    </xf>
    <xf borderId="29" fillId="0" fontId="15" numFmtId="0" xfId="0" applyAlignment="1" applyBorder="1" applyFont="1">
      <alignment shrinkToFit="0" wrapText="1"/>
    </xf>
    <xf borderId="6" fillId="0" fontId="13" numFmtId="0" xfId="0" applyAlignment="1" applyBorder="1" applyFont="1">
      <alignment horizontal="center" readingOrder="0" vertical="center"/>
    </xf>
    <xf borderId="37" fillId="7" fontId="14" numFmtId="0" xfId="0" applyAlignment="1" applyBorder="1" applyFont="1">
      <alignment horizontal="center" readingOrder="0" shrinkToFit="0" textRotation="0" vertical="center" wrapText="1"/>
    </xf>
    <xf borderId="33" fillId="0" fontId="11" numFmtId="0" xfId="0" applyAlignment="1" applyBorder="1" applyFont="1">
      <alignment horizontal="center" readingOrder="0" shrinkToFit="0" vertical="center" wrapText="1"/>
    </xf>
    <xf borderId="23" fillId="0" fontId="11" numFmtId="0" xfId="0" applyAlignment="1" applyBorder="1" applyFont="1">
      <alignment horizontal="center" readingOrder="0" shrinkToFit="0" vertical="center" wrapText="1"/>
    </xf>
    <xf borderId="33" fillId="4" fontId="2" numFmtId="0" xfId="0" applyAlignment="1" applyBorder="1" applyFont="1">
      <alignment horizontal="center" readingOrder="0" shrinkToFit="0" textRotation="90" vertical="center" wrapText="1"/>
    </xf>
    <xf borderId="33" fillId="0" fontId="1" numFmtId="0" xfId="0" applyAlignment="1" applyBorder="1" applyFont="1">
      <alignment shrinkToFit="0" wrapText="1"/>
    </xf>
    <xf borderId="33" fillId="0" fontId="1" numFmtId="0" xfId="0" applyBorder="1" applyFont="1"/>
    <xf borderId="0" fillId="0" fontId="16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textRotation="90" vertical="center" wrapText="1"/>
    </xf>
    <xf borderId="29" fillId="0" fontId="16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6" fillId="0" fontId="16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36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vertical="center"/>
    </xf>
    <xf borderId="3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63"/>
    <col customWidth="1" min="4" max="4" width="13.75"/>
    <col customWidth="1" min="5" max="5" width="10.5"/>
    <col customWidth="1" min="6" max="6" width="80.13"/>
  </cols>
  <sheetData>
    <row r="1">
      <c r="A1" s="1"/>
      <c r="B1" s="1"/>
      <c r="C1" s="1"/>
      <c r="D1" s="1"/>
      <c r="E1" s="1"/>
      <c r="F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4"/>
      <c r="E2" s="5">
        <f>COUNTBLANK(F7:F174)</f>
        <v>16</v>
      </c>
      <c r="F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1"/>
      <c r="B4" s="6" t="s">
        <v>1</v>
      </c>
      <c r="C4" s="7"/>
      <c r="D4" s="7"/>
      <c r="E4" s="8"/>
      <c r="F4" s="9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0.75" customHeight="1">
      <c r="A5" s="10"/>
      <c r="B5" s="11" t="s">
        <v>3</v>
      </c>
      <c r="C5" s="11" t="s">
        <v>4</v>
      </c>
      <c r="D5" s="11" t="s">
        <v>5</v>
      </c>
      <c r="E5" s="12" t="s">
        <v>6</v>
      </c>
      <c r="F5" s="9" t="s">
        <v>7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"/>
      <c r="B6" s="1"/>
      <c r="C6" s="1"/>
      <c r="D6" s="1"/>
      <c r="E6" s="1"/>
      <c r="F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3" t="s">
        <v>8</v>
      </c>
      <c r="C7" s="14" t="s">
        <v>9</v>
      </c>
      <c r="D7" s="15" t="s">
        <v>10</v>
      </c>
      <c r="E7" s="15" t="str">
        <f>'Allée 1'!N9</f>
        <v>1m80</v>
      </c>
      <c r="F7" s="16" t="str">
        <f>'Allée 1'!S9</f>
        <v>Complexe Meno 12/11/2028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7"/>
      <c r="C8" s="17"/>
      <c r="D8" s="18" t="s">
        <v>11</v>
      </c>
      <c r="E8" s="19" t="str">
        <f>'Allée 1'!N9</f>
        <v>1m80</v>
      </c>
      <c r="F8" s="20" t="str">
        <f>'Allée 1'!Q9</f>
        <v>Complexe Meno 12/11/2028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7"/>
      <c r="C9" s="17"/>
      <c r="D9" s="18" t="s">
        <v>12</v>
      </c>
      <c r="E9" s="18" t="str">
        <f>'Allée 1'!N9</f>
        <v>1m80</v>
      </c>
      <c r="F9" s="20" t="str">
        <f>'Allée 1'!O9</f>
        <v>Complexe Meno 12/11/2028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7"/>
      <c r="C10" s="17"/>
      <c r="D10" s="18" t="s">
        <v>13</v>
      </c>
      <c r="E10" s="18" t="str">
        <f>'Allée 1'!G9</f>
        <v>1m28</v>
      </c>
      <c r="F10" s="20" t="str">
        <f>'Allée 1'!J9</f>
        <v>Complexe Sommeil 26/10/2028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7"/>
      <c r="C11" s="17"/>
      <c r="D11" s="18" t="s">
        <v>14</v>
      </c>
      <c r="E11" s="21" t="str">
        <f>'Allée 1'!G9</f>
        <v>1m28</v>
      </c>
      <c r="F11" s="20" t="str">
        <f>'Allée 1'!H9</f>
        <v>Complexe Sommeil 26/10/2028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7"/>
      <c r="C12" s="17"/>
      <c r="D12" s="18" t="s">
        <v>15</v>
      </c>
      <c r="E12" s="21" t="str">
        <f>'Allée 1'!N6</f>
        <v>1m28</v>
      </c>
      <c r="F12" s="20" t="str">
        <f>'Allée 1'!S6</f>
        <v>Complexe PDP 01/10/2028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7"/>
      <c r="C13" s="17"/>
      <c r="D13" s="18" t="s">
        <v>16</v>
      </c>
      <c r="E13" s="18" t="str">
        <f>'Allée 1'!N6</f>
        <v>1m28</v>
      </c>
      <c r="F13" s="20" t="str">
        <f>'Allée 1'!Q6</f>
        <v>Complexe PDP 01/10/2028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7"/>
      <c r="C14" s="17"/>
      <c r="D14" s="18" t="s">
        <v>17</v>
      </c>
      <c r="E14" s="18" t="str">
        <f>'Allée 1'!N6</f>
        <v>1m28</v>
      </c>
      <c r="F14" s="20" t="str">
        <f>'Allée 1'!O6</f>
        <v>Complexe PDP 01/10/2028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7"/>
      <c r="C15" s="17"/>
      <c r="D15" s="18" t="s">
        <v>18</v>
      </c>
      <c r="E15" s="18" t="str">
        <f>'Allée 1'!G6</f>
        <v>1m28</v>
      </c>
      <c r="F15" s="20" t="str">
        <f>'Allée 1'!J6</f>
        <v/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7"/>
      <c r="C16" s="17"/>
      <c r="D16" s="18" t="s">
        <v>19</v>
      </c>
      <c r="E16" s="21" t="str">
        <f>'Allée 1'!G6</f>
        <v>1m28</v>
      </c>
      <c r="F16" s="20" t="str">
        <f>'Allée 1'!H6</f>
        <v/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7"/>
      <c r="C17" s="17"/>
      <c r="D17" s="18" t="s">
        <v>20</v>
      </c>
      <c r="E17" s="19" t="str">
        <f>'Allée 1'!N3</f>
        <v>1m28</v>
      </c>
      <c r="F17" s="20" t="str">
        <f>'Allée 1'!S3</f>
        <v>Complexe PDP 01/10/2028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7"/>
      <c r="C18" s="17"/>
      <c r="D18" s="18" t="s">
        <v>21</v>
      </c>
      <c r="E18" s="18" t="str">
        <f>'Allée 1'!N3</f>
        <v>1m28</v>
      </c>
      <c r="F18" s="20" t="str">
        <f>'Allée 1'!Q3</f>
        <v>Complexe PDP 01/10/2028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7"/>
      <c r="C19" s="17"/>
      <c r="D19" s="18" t="s">
        <v>22</v>
      </c>
      <c r="E19" s="18" t="str">
        <f>'Allée 1'!N3</f>
        <v>1m28</v>
      </c>
      <c r="F19" s="20" t="str">
        <f>'Allée 1'!O3</f>
        <v>Complexe PDP 01/10/2028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7"/>
      <c r="C20" s="17"/>
      <c r="D20" s="18" t="s">
        <v>23</v>
      </c>
      <c r="E20" s="21" t="str">
        <f>'Allée 1'!G3</f>
        <v>1m28</v>
      </c>
      <c r="F20" s="20" t="str">
        <f>'Allée 1'!J3</f>
        <v>⚠️
Impossible de stocker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7"/>
      <c r="C21" s="22"/>
      <c r="D21" s="23" t="s">
        <v>24</v>
      </c>
      <c r="E21" s="24" t="str">
        <f>'Allée 1'!G3</f>
        <v>1m28</v>
      </c>
      <c r="F21" s="25" t="str">
        <f>'Allée 1'!H3</f>
        <v>⚠️
Impossible de stocker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7"/>
      <c r="C22" s="14" t="s">
        <v>25</v>
      </c>
      <c r="D22" s="15" t="s">
        <v>26</v>
      </c>
      <c r="E22" s="15" t="str">
        <f>'Allée 1'!Y13</f>
        <v>1m80</v>
      </c>
      <c r="F22" s="26" t="str">
        <f>'Allée 1'!X13</f>
        <v>Complexe Coupe-Faim
27/10/2028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7"/>
      <c r="C23" s="17"/>
      <c r="D23" s="18" t="s">
        <v>27</v>
      </c>
      <c r="E23" s="18" t="str">
        <f>'Allée 1'!U13</f>
        <v>1m80</v>
      </c>
      <c r="F23" s="20" t="str">
        <f>'Allée 1'!V13</f>
        <v>Complexe PDP
29/10/2028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7"/>
      <c r="C24" s="17"/>
      <c r="D24" s="18" t="s">
        <v>28</v>
      </c>
      <c r="E24" s="18" t="str">
        <f>'Allée 1'!U13</f>
        <v>1m80</v>
      </c>
      <c r="F24" s="20" t="str">
        <f>'Allée 1'!S13</f>
        <v>Complexe PDP
29/10/2028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7"/>
      <c r="C25" s="17"/>
      <c r="D25" s="18" t="s">
        <v>29</v>
      </c>
      <c r="E25" s="21" t="str">
        <f>'Allée 1'!U13</f>
        <v>1m80</v>
      </c>
      <c r="F25" s="20" t="str">
        <f>'Allée 1'!Q13</f>
        <v>Complexe Méno
12/11/2028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7"/>
      <c r="C26" s="17"/>
      <c r="D26" s="18" t="s">
        <v>30</v>
      </c>
      <c r="E26" s="19" t="str">
        <f>'Allée 1'!U13</f>
        <v>1m80</v>
      </c>
      <c r="F26" s="20" t="str">
        <f>'Allée 1'!O13</f>
        <v>COUPE FAIM
12/28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7"/>
      <c r="C27" s="17"/>
      <c r="D27" s="18" t="s">
        <v>31</v>
      </c>
      <c r="E27" s="18" t="str">
        <f>'Allée 1'!I13</f>
        <v>1m28</v>
      </c>
      <c r="F27" s="20" t="str">
        <f>'Allée 1'!M13</f>
        <v>Complexe PDP
10/2028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7"/>
      <c r="C28" s="17"/>
      <c r="D28" s="18" t="s">
        <v>32</v>
      </c>
      <c r="E28" s="18" t="str">
        <f>'Allée 1'!I13</f>
        <v>1m28</v>
      </c>
      <c r="F28" s="20" t="str">
        <f>'Allée 1'!L13</f>
        <v>Complexe PDP
10/2028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7"/>
      <c r="C29" s="17"/>
      <c r="D29" s="18" t="s">
        <v>33</v>
      </c>
      <c r="E29" s="21" t="str">
        <f>'Allée 1'!I13</f>
        <v>1m28</v>
      </c>
      <c r="F29" s="20" t="str">
        <f>'Allée 1'!J13</f>
        <v>Complexe PDP 01/10/2028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7"/>
      <c r="C30" s="17"/>
      <c r="D30" s="18" t="s">
        <v>34</v>
      </c>
      <c r="E30" s="21" t="str">
        <f>'Allée 1'!C13</f>
        <v>1m28</v>
      </c>
      <c r="F30" s="20" t="str">
        <f>'Allée 1'!G13</f>
        <v>Complexe PDP 01/10/2028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7"/>
      <c r="C31" s="17"/>
      <c r="D31" s="18" t="s">
        <v>35</v>
      </c>
      <c r="E31" s="18" t="str">
        <f>'Allée 1'!C13</f>
        <v>1m28</v>
      </c>
      <c r="F31" s="20" t="str">
        <f>'Allée 1'!F13</f>
        <v>Complexe PDP 24/11/2028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7"/>
      <c r="C32" s="17"/>
      <c r="D32" s="18" t="s">
        <v>36</v>
      </c>
      <c r="E32" s="19" t="str">
        <f>'Allée 1'!C13</f>
        <v>1m28</v>
      </c>
      <c r="F32" s="20" t="str">
        <f>'Allée 1'!D13</f>
        <v>Méno
08/12/28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7"/>
      <c r="C33" s="17"/>
      <c r="D33" s="18" t="s">
        <v>37</v>
      </c>
      <c r="E33" s="19" t="str">
        <f>'Allée 1'!Y16</f>
        <v>1m28</v>
      </c>
      <c r="F33" s="20" t="str">
        <f>'Allée 1'!X17</f>
        <v>POIDS
11/28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7"/>
      <c r="C34" s="17"/>
      <c r="D34" s="18" t="s">
        <v>38</v>
      </c>
      <c r="E34" s="18" t="str">
        <f>'Allée 1'!Y16</f>
        <v>1m28</v>
      </c>
      <c r="F34" s="20" t="str">
        <f>'Allée 1'!V17</f>
        <v>POIDS
11/28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7"/>
      <c r="C35" s="17"/>
      <c r="D35" s="18" t="s">
        <v>39</v>
      </c>
      <c r="E35" s="18" t="str">
        <f>'Allée 1'!U16</f>
        <v>1m28</v>
      </c>
      <c r="F35" s="20" t="str">
        <f>'Allée 1'!S17</f>
        <v>poids
11/28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7"/>
      <c r="C36" s="17"/>
      <c r="D36" s="18" t="s">
        <v>40</v>
      </c>
      <c r="E36" s="18" t="str">
        <f>'Allée 1'!U16</f>
        <v>1m28</v>
      </c>
      <c r="F36" s="20" t="str">
        <f>'Allée 1'!Q17</f>
        <v>POIDS
11/28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7"/>
      <c r="C37" s="17"/>
      <c r="D37" s="18" t="s">
        <v>41</v>
      </c>
      <c r="E37" s="18" t="str">
        <f>'Allée 1'!U16</f>
        <v>1m28</v>
      </c>
      <c r="F37" s="20" t="str">
        <f>'Allée 1'!O17</f>
        <v>Copupr faim
12/28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7"/>
      <c r="C38" s="17"/>
      <c r="D38" s="18" t="s">
        <v>42</v>
      </c>
      <c r="E38" s="18" t="str">
        <f>'Allée 1'!I15</f>
        <v>1m28</v>
      </c>
      <c r="F38" s="20" t="str">
        <f>'Allée 1'!M16</f>
        <v>Complexe PDP
10/2028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7"/>
      <c r="C39" s="17"/>
      <c r="D39" s="18" t="s">
        <v>43</v>
      </c>
      <c r="E39" s="18" t="str">
        <f>'Allée 1'!I15</f>
        <v>1m28</v>
      </c>
      <c r="F39" s="20" t="str">
        <f>'Allée 1'!L16</f>
        <v>Complexe PDP
10/2028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7"/>
      <c r="C40" s="17"/>
      <c r="D40" s="18" t="s">
        <v>44</v>
      </c>
      <c r="E40" s="18" t="str">
        <f>'Allée 1'!I15</f>
        <v>1m28</v>
      </c>
      <c r="F40" s="20" t="str">
        <f>'Allée 1'!J16</f>
        <v>Complexe PDP
10/2028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7"/>
      <c r="C41" s="17"/>
      <c r="D41" s="18" t="s">
        <v>45</v>
      </c>
      <c r="E41" s="18" t="str">
        <f>'Allée 1'!C15</f>
        <v>1m28</v>
      </c>
      <c r="F41" s="20" t="str">
        <f>'Allée 1'!G16</f>
        <v>Complexe PDP 01/10/2028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7"/>
      <c r="C42" s="17"/>
      <c r="D42" s="18" t="s">
        <v>46</v>
      </c>
      <c r="E42" s="18" t="str">
        <f>'Allée 1'!C15</f>
        <v>1m28</v>
      </c>
      <c r="F42" s="20" t="str">
        <f>'Allée 1'!F16</f>
        <v>Complexe PDP 10/2028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7"/>
      <c r="C43" s="17"/>
      <c r="D43" s="18" t="s">
        <v>47</v>
      </c>
      <c r="E43" s="18" t="str">
        <f>'Allée 1'!C15</f>
        <v>1m28</v>
      </c>
      <c r="F43" s="20" t="str">
        <f>'Allée 1'!D16</f>
        <v>Complexe PDP 29/10/2028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7"/>
      <c r="C44" s="17"/>
      <c r="D44" s="18" t="s">
        <v>48</v>
      </c>
      <c r="E44" s="18" t="str">
        <f>'Allée 1'!Y20</f>
        <v>1m28</v>
      </c>
      <c r="F44" s="20" t="str">
        <f>'Allée 1'!X21</f>
        <v>POIDS
11/28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7"/>
      <c r="C45" s="17"/>
      <c r="D45" s="18" t="s">
        <v>49</v>
      </c>
      <c r="E45" s="18" t="str">
        <f>'Allée 1'!Y20</f>
        <v>1m28</v>
      </c>
      <c r="F45" s="27" t="str">
        <f>'Allée 1'!V21</f>
        <v>POIDS
11/28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7"/>
      <c r="C46" s="17"/>
      <c r="D46" s="18" t="s">
        <v>50</v>
      </c>
      <c r="E46" s="19" t="str">
        <f>'Allée 1'!U20</f>
        <v>1m28</v>
      </c>
      <c r="F46" s="20" t="str">
        <f>'Allée 1'!S21</f>
        <v>Méno
12/28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7"/>
      <c r="C47" s="17"/>
      <c r="D47" s="18" t="s">
        <v>51</v>
      </c>
      <c r="E47" s="18" t="str">
        <f>'Allée 1'!U20</f>
        <v>1m28</v>
      </c>
      <c r="F47" s="20" t="str">
        <f>'Allée 1'!Q21</f>
        <v>POPIDS
11/28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7"/>
      <c r="C48" s="17"/>
      <c r="D48" s="18" t="s">
        <v>52</v>
      </c>
      <c r="E48" s="18" t="str">
        <f>'Allée 1'!U20</f>
        <v>1m28</v>
      </c>
      <c r="F48" s="20" t="str">
        <f>'Allée 1'!O21</f>
        <v>
Sommeil
11/28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7"/>
      <c r="C49" s="17"/>
      <c r="D49" s="18" t="s">
        <v>53</v>
      </c>
      <c r="E49" s="18" t="str">
        <f>'Allée 1'!I19</f>
        <v>1m28</v>
      </c>
      <c r="F49" s="20" t="str">
        <f>'Allée 1'!M20</f>
        <v>Poids
11/28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7"/>
      <c r="C50" s="17"/>
      <c r="D50" s="18" t="s">
        <v>54</v>
      </c>
      <c r="E50" s="18" t="str">
        <f>'Allée 1'!I19</f>
        <v>1m28</v>
      </c>
      <c r="F50" s="20" t="str">
        <f>'Allée 1'!L20</f>
        <v>COUPE FAIM
12/28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7"/>
      <c r="C51" s="17"/>
      <c r="D51" s="18" t="s">
        <v>55</v>
      </c>
      <c r="E51" s="18" t="str">
        <f>'Allée 1'!I19</f>
        <v>1m28</v>
      </c>
      <c r="F51" s="20" t="str">
        <f>'Allée 1'!J20</f>
        <v>Poids
24/11/28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7"/>
      <c r="C52" s="17"/>
      <c r="D52" s="18" t="s">
        <v>56</v>
      </c>
      <c r="E52" s="18" t="str">
        <f>'Allée 1'!C19</f>
        <v>65cm</v>
      </c>
      <c r="F52" s="20" t="str">
        <f>'Allée 1'!G20</f>
        <v>Coupe-faim
12/28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7"/>
      <c r="C53" s="17"/>
      <c r="D53" s="18" t="s">
        <v>57</v>
      </c>
      <c r="E53" s="18" t="str">
        <f>'Allée 1'!I19</f>
        <v>1m28</v>
      </c>
      <c r="F53" s="20" t="str">
        <f>'Allée 1'!F20</f>
        <v>Complexe PDP 01/10/2028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22"/>
      <c r="C54" s="22"/>
      <c r="D54" s="23" t="s">
        <v>58</v>
      </c>
      <c r="E54" s="23" t="str">
        <f>'Allée 1'!C19</f>
        <v>65cm</v>
      </c>
      <c r="F54" s="25" t="str">
        <f>'Allée 1'!D20</f>
        <v>⚠️
Impossible de stocker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3" t="s">
        <v>59</v>
      </c>
      <c r="C55" s="14" t="s">
        <v>60</v>
      </c>
      <c r="D55" s="15" t="s">
        <v>61</v>
      </c>
      <c r="E55" s="15" t="str">
        <f>'Allée 2'!Y10</f>
        <v>1m80</v>
      </c>
      <c r="F55" s="26" t="str">
        <f>'Allée 2'!W10</f>
        <v>Complexe PDP
29/10/2028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7"/>
      <c r="C56" s="17"/>
      <c r="D56" s="23" t="s">
        <v>62</v>
      </c>
      <c r="E56" s="18" t="str">
        <f>'Allée 2'!Y10</f>
        <v>1m80</v>
      </c>
      <c r="F56" s="20" t="str">
        <f>'Allée 2'!U10</f>
        <v>Complexe PDP
29/10/2028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7"/>
      <c r="C57" s="17"/>
      <c r="D57" s="18" t="s">
        <v>63</v>
      </c>
      <c r="E57" s="28" t="str">
        <f>'Allée 2'!T10</f>
        <v>1m80</v>
      </c>
      <c r="F57" s="20" t="str">
        <f>'Allée 2'!S10</f>
        <v>C/3
EXTRA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7"/>
      <c r="C58" s="17"/>
      <c r="D58" s="18" t="s">
        <v>64</v>
      </c>
      <c r="E58" s="29" t="str">
        <f>'Allée 2'!T10</f>
        <v>1m80</v>
      </c>
      <c r="F58" s="20" t="str">
        <f>'Allée 2'!R10</f>
        <v>Carton
6 flacons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7"/>
      <c r="C59" s="17"/>
      <c r="D59" s="18" t="s">
        <v>65</v>
      </c>
      <c r="E59" s="30" t="str">
        <f>'Allée 2'!T10</f>
        <v>1m80</v>
      </c>
      <c r="F59" s="20" t="str">
        <f>'Allée 2'!P10</f>
        <v>Enveloppes
ENV20
2 flacons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7"/>
      <c r="C60" s="17"/>
      <c r="D60" s="18" t="s">
        <v>66</v>
      </c>
      <c r="E60" s="28" t="str">
        <f>'Allée 2'!J11</f>
        <v>1m28</v>
      </c>
      <c r="F60" s="20" t="str">
        <f>'Allée 2'!N11</f>
        <v/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7"/>
      <c r="C61" s="17"/>
      <c r="D61" s="18" t="s">
        <v>67</v>
      </c>
      <c r="E61" s="28" t="str">
        <f>'Allée 2'!J11</f>
        <v>1m28</v>
      </c>
      <c r="F61" s="20" t="str">
        <f>'Allée 2'!M11</f>
        <v>Carton
12 Flacons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7"/>
      <c r="C62" s="17"/>
      <c r="D62" s="18" t="s">
        <v>68</v>
      </c>
      <c r="E62" s="29" t="str">
        <f>'Allée 2'!J11</f>
        <v>1m28</v>
      </c>
      <c r="F62" s="20" t="str">
        <f>'Allée 2'!K11</f>
        <v>poids
11/28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7"/>
      <c r="C63" s="17"/>
      <c r="D63" s="18" t="s">
        <v>69</v>
      </c>
      <c r="E63" s="29" t="str">
        <f>'Allée 2'!C11</f>
        <v>1m28</v>
      </c>
      <c r="F63" s="20" t="str">
        <f>'Allée 2'!H11</f>
        <v>Complexe Coupe-Faim
08/2028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7"/>
      <c r="C64" s="17"/>
      <c r="D64" s="18" t="s">
        <v>70</v>
      </c>
      <c r="E64" s="28" t="str">
        <f>'Allée 2'!C11</f>
        <v>1m28</v>
      </c>
      <c r="F64" s="20" t="str">
        <f>'Allée 2'!F11</f>
        <v>coupe faim
12/28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7"/>
      <c r="C65" s="17"/>
      <c r="D65" s="18" t="s">
        <v>71</v>
      </c>
      <c r="E65" s="30" t="str">
        <f>'Allée 2'!C11</f>
        <v>1m28</v>
      </c>
      <c r="F65" s="20" t="str">
        <f>'Allée 2'!D11</f>
        <v>Complexe Sommeil
05/10/2028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7"/>
      <c r="C66" s="17"/>
      <c r="D66" s="31" t="s">
        <v>72</v>
      </c>
      <c r="E66" s="19" t="str">
        <f>'Allée 2'!Y6</f>
        <v>1m28</v>
      </c>
      <c r="F66" s="20" t="str">
        <f>'Allée 2'!W6</f>
        <v>POIDS
11/28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7"/>
      <c r="C67" s="17"/>
      <c r="D67" s="18" t="s">
        <v>73</v>
      </c>
      <c r="E67" s="18" t="str">
        <f>'Allée 2'!Y6</f>
        <v>1m28</v>
      </c>
      <c r="F67" s="20" t="str">
        <f>'Allée 2'!U6</f>
        <v>POIDS
11/28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7"/>
      <c r="C68" s="17"/>
      <c r="D68" s="18" t="s">
        <v>74</v>
      </c>
      <c r="E68" s="18" t="str">
        <f>'Allée 2'!O7</f>
        <v>1m28</v>
      </c>
      <c r="F68" s="20" t="str">
        <f>'Allée 2'!S6</f>
        <v>Complexe PDP
14/07/2028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7"/>
      <c r="C69" s="17"/>
      <c r="D69" s="18" t="s">
        <v>75</v>
      </c>
      <c r="E69" s="18" t="str">
        <f>'Allée 2'!O7</f>
        <v>1m28</v>
      </c>
      <c r="F69" s="20" t="str">
        <f>'Allée 2'!R6</f>
        <v>Complexe PDP
14/07/2028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7"/>
      <c r="C70" s="17"/>
      <c r="D70" s="18" t="s">
        <v>76</v>
      </c>
      <c r="E70" s="18" t="str">
        <f>'Allée 2'!O7</f>
        <v>1m28</v>
      </c>
      <c r="F70" s="20" t="str">
        <f>'Allée 2'!P6</f>
        <v>Complexe PDP
14/07/2028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7"/>
      <c r="C71" s="17"/>
      <c r="D71" s="18" t="s">
        <v>77</v>
      </c>
      <c r="E71" s="18" t="str">
        <f>'Allée 2'!J7</f>
        <v>1m15</v>
      </c>
      <c r="F71" s="20" t="str">
        <f>'Allée 2'!N7</f>
        <v>Complexe Méno
02/09/2028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7"/>
      <c r="C72" s="17"/>
      <c r="D72" s="18" t="s">
        <v>78</v>
      </c>
      <c r="E72" s="18" t="str">
        <f>'Allée 2'!J7</f>
        <v>1m15</v>
      </c>
      <c r="F72" s="20" t="str">
        <f>'Allée 2'!M7</f>
        <v>Complexe Méno
02/09/2028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7"/>
      <c r="C73" s="17"/>
      <c r="D73" s="18" t="s">
        <v>79</v>
      </c>
      <c r="E73" s="18" t="str">
        <f>'Allée 2'!J7</f>
        <v>1m15</v>
      </c>
      <c r="F73" s="20" t="str">
        <f>'Allée 2'!K7</f>
        <v>Complexe Méno
02/09/2028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7"/>
      <c r="C74" s="17"/>
      <c r="D74" s="18" t="s">
        <v>80</v>
      </c>
      <c r="E74" s="18" t="str">
        <f>'Allée 2'!C7</f>
        <v>1m28</v>
      </c>
      <c r="F74" s="20" t="str">
        <f>'Allée 2'!H7</f>
        <v>Complexe PDP
14/07/2028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7"/>
      <c r="C75" s="17"/>
      <c r="D75" s="18" t="s">
        <v>81</v>
      </c>
      <c r="E75" s="18" t="str">
        <f>'Allée 2'!C7</f>
        <v>1m28</v>
      </c>
      <c r="F75" s="20" t="str">
        <f>'Allée 2'!F7</f>
        <v>Complexe PDP
14/07/2028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7"/>
      <c r="C76" s="17"/>
      <c r="D76" s="18" t="s">
        <v>82</v>
      </c>
      <c r="E76" s="18" t="str">
        <f>'Allée 2'!C7</f>
        <v>1m28</v>
      </c>
      <c r="F76" s="20" t="str">
        <f>'Allée 2'!D7</f>
        <v>Complexe PDP
14/07/2028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7"/>
      <c r="C77" s="17"/>
      <c r="D77" s="18" t="s">
        <v>83</v>
      </c>
      <c r="E77" s="18" t="str">
        <f>'Allée 2'!Y2</f>
        <v>1m15</v>
      </c>
      <c r="F77" s="20" t="str">
        <f>'Allée 2'!W2</f>
        <v>Méno
12/28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7"/>
      <c r="C78" s="17"/>
      <c r="D78" s="18" t="s">
        <v>84</v>
      </c>
      <c r="E78" s="18" t="str">
        <f>'Allée 2'!Y2</f>
        <v>1m15</v>
      </c>
      <c r="F78" s="27" t="str">
        <f>'Allée 2'!U2</f>
        <v>SOMMEIL
11/28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7"/>
      <c r="C79" s="17"/>
      <c r="D79" s="18" t="s">
        <v>85</v>
      </c>
      <c r="E79" s="19" t="str">
        <f>'Allée 2'!T2</f>
        <v>1m15</v>
      </c>
      <c r="F79" s="20" t="str">
        <f>'Allée 2'!S2</f>
        <v>Complexe PDP
14/07/2028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7"/>
      <c r="C80" s="17"/>
      <c r="D80" s="18" t="s">
        <v>86</v>
      </c>
      <c r="E80" s="18" t="str">
        <f>'Allée 2'!T2</f>
        <v>1m15</v>
      </c>
      <c r="F80" s="20" t="str">
        <f>'Allée 2'!R2</f>
        <v>Complexe PDP
14/07/2028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7"/>
      <c r="C81" s="17"/>
      <c r="D81" s="18" t="s">
        <v>87</v>
      </c>
      <c r="E81" s="18" t="str">
        <f>'Allée 2'!O3</f>
        <v>65cm</v>
      </c>
      <c r="F81" s="2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7"/>
      <c r="C82" s="17"/>
      <c r="D82" s="18" t="s">
        <v>88</v>
      </c>
      <c r="E82" s="18" t="str">
        <f>'Allée 2'!J3</f>
        <v>1m28</v>
      </c>
      <c r="F82" s="20" t="str">
        <f>'Allée 2'!N3</f>
        <v>Complexe Méno
02/09/2028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7"/>
      <c r="C83" s="17"/>
      <c r="D83" s="18" t="s">
        <v>89</v>
      </c>
      <c r="E83" s="18" t="str">
        <f>'Allée 2'!J3</f>
        <v>1m28</v>
      </c>
      <c r="F83" s="20" t="str">
        <f>'Allée 2'!M3</f>
        <v>Complexe Méno
02/09/2028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7"/>
      <c r="C84" s="17"/>
      <c r="D84" s="18" t="s">
        <v>90</v>
      </c>
      <c r="E84" s="18" t="str">
        <f>'Allée 2'!J3</f>
        <v>1m28</v>
      </c>
      <c r="F84" s="20" t="str">
        <f>'Allée 2'!K3</f>
        <v>Complexe Méno
02/09/2028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7"/>
      <c r="C85" s="17"/>
      <c r="D85" s="18" t="s">
        <v>91</v>
      </c>
      <c r="E85" s="18" t="str">
        <f>'Allée 2'!J3</f>
        <v>1m28</v>
      </c>
      <c r="F85" s="20" t="str">
        <f>'Allée 2'!H3</f>
        <v>Complexe Méno
02/09/2028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7"/>
      <c r="C86" s="17"/>
      <c r="D86" s="18" t="s">
        <v>92</v>
      </c>
      <c r="E86" s="18" t="str">
        <f>'Allée 2'!C3</f>
        <v>65cm</v>
      </c>
      <c r="F86" s="20" t="str">
        <f>'Allée 2'!F3</f>
        <v>⚠️
Impossible de stocker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7"/>
      <c r="C87" s="22"/>
      <c r="D87" s="23" t="s">
        <v>93</v>
      </c>
      <c r="E87" s="23" t="str">
        <f>'Allée 2'!C3</f>
        <v>65cm</v>
      </c>
      <c r="F87" s="25" t="str">
        <f>'Allée 2'!D3</f>
        <v>⚠️
Impossible de stocker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7"/>
      <c r="C88" s="14" t="s">
        <v>94</v>
      </c>
      <c r="D88" s="15" t="s">
        <v>95</v>
      </c>
      <c r="E88" s="15" t="str">
        <f>'Allée 2'!T14</f>
        <v>1m80</v>
      </c>
      <c r="F88" s="26" t="str">
        <f>'Allée 2'!S15</f>
        <v>Complexe anxiete, peurs
10/2028        
        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7"/>
      <c r="C89" s="17"/>
      <c r="D89" s="18" t="s">
        <v>96</v>
      </c>
      <c r="E89" s="18" t="str">
        <f>'Allée 2'!T14</f>
        <v>1m80</v>
      </c>
      <c r="F89" s="20" t="str">
        <f>'Allée 2'!R15</f>
        <v>Complexe PDP
24/11/2028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7"/>
      <c r="C90" s="17"/>
      <c r="D90" s="18" t="s">
        <v>97</v>
      </c>
      <c r="E90" s="28" t="str">
        <f>'Allée 2'!T14</f>
        <v>1m80</v>
      </c>
      <c r="F90" s="20" t="str">
        <f>'Allée 2'!P15</f>
        <v>Complexe Poids
14/07/2028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7"/>
      <c r="C91" s="17"/>
      <c r="D91" s="18" t="s">
        <v>98</v>
      </c>
      <c r="E91" s="29" t="str">
        <f>'Allée 2'!J14</f>
        <v>1m30</v>
      </c>
      <c r="F91" s="20" t="str">
        <f>'Allée 2'!N15</f>
        <v>Complexe Méno
02/09/2028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7"/>
      <c r="C92" s="17"/>
      <c r="D92" s="18" t="s">
        <v>99</v>
      </c>
      <c r="E92" s="30" t="str">
        <f>'Allée 2'!J14</f>
        <v>1m30</v>
      </c>
      <c r="F92" s="20" t="str">
        <f>'Allée 2'!M15</f>
        <v>Complexe Méno
02/09/2028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7"/>
      <c r="C93" s="17"/>
      <c r="D93" s="18" t="s">
        <v>100</v>
      </c>
      <c r="E93" s="28" t="str">
        <f>'Allée 2'!J14</f>
        <v>1m30</v>
      </c>
      <c r="F93" s="20" t="str">
        <f>'Allée 2'!K15</f>
        <v>Complexe Méno
23/06/2028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7"/>
      <c r="C94" s="17"/>
      <c r="D94" s="18" t="s">
        <v>101</v>
      </c>
      <c r="E94" s="28" t="str">
        <f>'Allée 2'!C14</f>
        <v>1m28</v>
      </c>
      <c r="F94" s="20" t="str">
        <f>'Allée 2'!H15</f>
        <v>Complexe PDP
01/10/2028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7"/>
      <c r="C95" s="17"/>
      <c r="D95" s="18" t="s">
        <v>102</v>
      </c>
      <c r="E95" s="29" t="str">
        <f>'Allée 2'!C14</f>
        <v>1m28</v>
      </c>
      <c r="F95" s="20" t="str">
        <f>'Allée 2'!F15</f>
        <v>Complexe Sommeil
05/10/2028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7"/>
      <c r="C96" s="17"/>
      <c r="D96" s="18" t="s">
        <v>103</v>
      </c>
      <c r="E96" s="32" t="str">
        <f>'Allée 2'!C14</f>
        <v>1m28</v>
      </c>
      <c r="F96" s="25" t="str">
        <f>'Allée 2'!D15</f>
        <v>Complexe Coupe-Faim
08/2028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7"/>
      <c r="C97" s="17"/>
      <c r="D97" s="33" t="s">
        <v>104</v>
      </c>
      <c r="E97" s="19" t="str">
        <f>'Allée 2'!T18</f>
        <v>1m28</v>
      </c>
      <c r="F97" s="20" t="str">
        <f>'Allée 2'!S19</f>
        <v>Complexe PDP
01/10/2028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7"/>
      <c r="C98" s="17"/>
      <c r="D98" s="33" t="s">
        <v>105</v>
      </c>
      <c r="E98" s="19" t="str">
        <f>'Allée 2'!T18</f>
        <v>1m28</v>
      </c>
      <c r="F98" s="20" t="str">
        <f>'Allée 2'!R19</f>
        <v>Complexe PDP
14/07/2028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7"/>
      <c r="C99" s="17"/>
      <c r="D99" s="33" t="s">
        <v>106</v>
      </c>
      <c r="E99" s="19" t="str">
        <f>'Allée 2'!T18</f>
        <v>1m28</v>
      </c>
      <c r="F99" s="20" t="str">
        <f>'Allée 2'!P19</f>
        <v>méno
12/28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7"/>
      <c r="C100" s="17"/>
      <c r="D100" s="33" t="s">
        <v>107</v>
      </c>
      <c r="E100" s="19" t="str">
        <f>'Allée 2'!J17</f>
        <v>1m28</v>
      </c>
      <c r="F100" s="20" t="str">
        <f>'Allée 2'!N18</f>
        <v>poids
11/28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7"/>
      <c r="C101" s="17"/>
      <c r="D101" s="33" t="s">
        <v>108</v>
      </c>
      <c r="E101" s="19" t="str">
        <f>'Allée 2'!J17</f>
        <v>1m28</v>
      </c>
      <c r="F101" s="20" t="str">
        <f>'Allée 2'!M18</f>
        <v>Complexe Méno
02/09/2028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7"/>
      <c r="C102" s="17"/>
      <c r="D102" s="33" t="s">
        <v>109</v>
      </c>
      <c r="E102" s="19" t="str">
        <f>'Allée 2'!J17</f>
        <v>1m28</v>
      </c>
      <c r="F102" s="20" t="str">
        <f>'Allée 2'!K18</f>
        <v>Complexe Méno
02/09/2028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7"/>
      <c r="C103" s="17"/>
      <c r="D103" s="33" t="s">
        <v>110</v>
      </c>
      <c r="E103" s="19" t="str">
        <f>'Allée 2'!C17</f>
        <v>1m28</v>
      </c>
      <c r="F103" s="20" t="str">
        <f>'Allée 2'!H18</f>
        <v>Complexe Coupe-Faim
08/2028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7"/>
      <c r="C104" s="17"/>
      <c r="D104" s="33" t="s">
        <v>111</v>
      </c>
      <c r="E104" s="19" t="str">
        <f>'Allée 2'!C17</f>
        <v>1m28</v>
      </c>
      <c r="F104" s="20" t="str">
        <f>'Allée 2'!F18</f>
        <v>Complexe Coupe-Faim
31/08/2028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7"/>
      <c r="C105" s="17"/>
      <c r="D105" s="33" t="s">
        <v>112</v>
      </c>
      <c r="E105" s="19" t="str">
        <f>'Allée 2'!C17</f>
        <v>1m28</v>
      </c>
      <c r="F105" s="20" t="str">
        <f>'Allée 2'!D18</f>
        <v>poids
11/28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7"/>
      <c r="C106" s="17"/>
      <c r="D106" s="34" t="s">
        <v>113</v>
      </c>
      <c r="E106" s="19" t="str">
        <f>'Allée 2'!T22</f>
        <v>1m28</v>
      </c>
      <c r="F106" s="20" t="str">
        <f>'Allée 2'!S23</f>
        <v>Complexe PDP
01/10/2028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7"/>
      <c r="C107" s="17"/>
      <c r="D107" s="34" t="s">
        <v>114</v>
      </c>
      <c r="E107" s="19" t="str">
        <f>'Allée 2'!T22</f>
        <v>1m28</v>
      </c>
      <c r="F107" s="20" t="str">
        <f>'Allée 2'!R23</f>
        <v>Complexe PDP
01/10/2028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7"/>
      <c r="C108" s="17"/>
      <c r="D108" s="34" t="s">
        <v>115</v>
      </c>
      <c r="E108" s="19" t="str">
        <f>'Allée 2'!O22</f>
        <v>65cm</v>
      </c>
      <c r="F108" s="20" t="str">
        <f>'Allée 2'!P23</f>
        <v/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7"/>
      <c r="C109" s="17"/>
      <c r="D109" s="34" t="s">
        <v>116</v>
      </c>
      <c r="E109" s="19" t="str">
        <f>'Allée 2'!J21</f>
        <v>1m28</v>
      </c>
      <c r="F109" s="20" t="str">
        <f>'Allée 2'!N22</f>
        <v>Complexe Méno
02/09/2028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7"/>
      <c r="C110" s="17"/>
      <c r="D110" s="34" t="s">
        <v>117</v>
      </c>
      <c r="E110" s="19" t="str">
        <f>'Allée 2'!J21</f>
        <v>1m28</v>
      </c>
      <c r="F110" s="20" t="str">
        <f>'Allée 2'!M22</f>
        <v>Complexe PDP
01/10/2028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7"/>
      <c r="C111" s="17"/>
      <c r="D111" s="34" t="s">
        <v>118</v>
      </c>
      <c r="E111" s="19" t="str">
        <f>'Allée 2'!J21</f>
        <v>1m28</v>
      </c>
      <c r="F111" s="20" t="str">
        <f>'Allée 2'!K22</f>
        <v>Complexe Méno
02/09/2028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7"/>
      <c r="C112" s="17"/>
      <c r="D112" s="34" t="s">
        <v>119</v>
      </c>
      <c r="E112" s="19" t="str">
        <f>'Allée 2'!J21</f>
        <v>1m28</v>
      </c>
      <c r="F112" s="20" t="str">
        <f>'Allée 2'!H22</f>
        <v>Complexe Coupe-Faim
08/2028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7"/>
      <c r="C113" s="17"/>
      <c r="D113" s="34" t="s">
        <v>120</v>
      </c>
      <c r="E113" s="19" t="str">
        <f>'Allée 2'!J21</f>
        <v>1m28</v>
      </c>
      <c r="F113" s="20" t="str">
        <f>'Allée 2'!F22</f>
        <v>Complexe Coupe-Faim
31/08/2028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7"/>
      <c r="C114" s="17"/>
      <c r="D114" s="35" t="s">
        <v>121</v>
      </c>
      <c r="E114" s="36" t="str">
        <f>'Allée 2'!C21</f>
        <v>65cm</v>
      </c>
      <c r="F114" s="25" t="str">
        <f>'Allée 2'!D22</f>
        <v>⚠️
Impossible de stocker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37" t="s">
        <v>122</v>
      </c>
      <c r="C115" s="14" t="s">
        <v>123</v>
      </c>
      <c r="D115" s="15" t="s">
        <v>124</v>
      </c>
      <c r="E115" s="15" t="str">
        <f>'Allée 3'!C11</f>
        <v>1m28</v>
      </c>
      <c r="F115" s="26" t="str">
        <f>'Allée 3'!D11</f>
        <v>Enveloppes
Facteur Livre
ENV50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38"/>
      <c r="C116" s="17"/>
      <c r="D116" s="18" t="s">
        <v>125</v>
      </c>
      <c r="E116" s="18" t="str">
        <f>'Allée 3'!C11</f>
        <v>1m28</v>
      </c>
      <c r="F116" s="20" t="str">
        <f>'Allée 3'!F11</f>
        <v>Stock sécu 
poids 3 flacons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38"/>
      <c r="C117" s="17"/>
      <c r="D117" s="18" t="s">
        <v>126</v>
      </c>
      <c r="E117" s="18" t="str">
        <f>'Allée 3'!C11</f>
        <v>1m28</v>
      </c>
      <c r="F117" s="20" t="str">
        <f>'Allée 3'!H11</f>
        <v>Stock sécu 
poids 2 flacons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38"/>
      <c r="C118" s="17"/>
      <c r="D118" s="18" t="s">
        <v>127</v>
      </c>
      <c r="E118" s="21" t="str">
        <f>'Allée 3'!J11</f>
        <v>1m28</v>
      </c>
      <c r="F118" s="20" t="str">
        <f>'Allée 3'!K11</f>
        <v>Stock sécu 
poids 1 flacon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38"/>
      <c r="C119" s="17"/>
      <c r="D119" s="18" t="s">
        <v>128</v>
      </c>
      <c r="E119" s="19" t="str">
        <f>'Allée 3'!J11</f>
        <v>1m28</v>
      </c>
      <c r="F119" s="20" t="str">
        <f>'Allée 3'!M11</f>
        <v>Stock sécu 
Méno 2 flacons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38"/>
      <c r="C120" s="17"/>
      <c r="D120" s="18" t="s">
        <v>129</v>
      </c>
      <c r="E120" s="18" t="str">
        <f>'Allée 3'!J11</f>
        <v>1m28</v>
      </c>
      <c r="F120" s="20" t="str">
        <f>'Allée 3'!N11</f>
        <v>Stock sécu 
poids 2 flacons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38"/>
      <c r="C121" s="17"/>
      <c r="D121" s="18" t="s">
        <v>130</v>
      </c>
      <c r="E121" s="18" t="str">
        <f>'Allée 3'!T11</f>
        <v>1m80</v>
      </c>
      <c r="F121" s="20" t="str">
        <f>'Allée 3'!P11</f>
        <v>Stock sécu 
pack minceur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38"/>
      <c r="C122" s="17"/>
      <c r="D122" s="18" t="s">
        <v>131</v>
      </c>
      <c r="E122" s="21" t="str">
        <f>'Allée 3'!T11</f>
        <v>1m80</v>
      </c>
      <c r="F122" s="20" t="str">
        <f>'Allée 3'!R11</f>
        <v>Stock Sécu
Bloc Box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38"/>
      <c r="C123" s="17"/>
      <c r="D123" s="18" t="s">
        <v>132</v>
      </c>
      <c r="E123" s="21" t="str">
        <f>'Allée 3'!T11</f>
        <v>1m80</v>
      </c>
      <c r="F123" s="20" t="str">
        <f>'Allée 3'!S11</f>
        <v>Stock Sécu
Bloc Box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38"/>
      <c r="C124" s="17"/>
      <c r="D124" s="33" t="s">
        <v>133</v>
      </c>
      <c r="E124" s="19" t="str">
        <f>'Allée 3'!C7</f>
        <v>1m28</v>
      </c>
      <c r="F124" s="20" t="str">
        <f>'Allée 3'!D7</f>
        <v>poids
11/28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38"/>
      <c r="C125" s="17"/>
      <c r="D125" s="33" t="s">
        <v>134</v>
      </c>
      <c r="E125" s="19" t="str">
        <f>'Allée 3'!C7</f>
        <v>1m28</v>
      </c>
      <c r="F125" s="20" t="str">
        <f>'Allée 3'!F7</f>
        <v>POIDS11/28	
	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38"/>
      <c r="C126" s="17"/>
      <c r="D126" s="33" t="s">
        <v>135</v>
      </c>
      <c r="E126" s="19" t="str">
        <f>'Allée 3'!C7</f>
        <v>1m28</v>
      </c>
      <c r="F126" s="20" t="str">
        <f>'Allée 3'!H7</f>
        <v/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38"/>
      <c r="C127" s="17"/>
      <c r="D127" s="33" t="s">
        <v>136</v>
      </c>
      <c r="E127" s="19" t="str">
        <f>'Allée 3'!J7</f>
        <v>1m28</v>
      </c>
      <c r="F127" s="20" t="str">
        <f>'Allée 3'!K7</f>
        <v>E/5
EXTRA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38"/>
      <c r="C128" s="17"/>
      <c r="D128" s="33" t="s">
        <v>137</v>
      </c>
      <c r="E128" s="19" t="str">
        <f>'Allée 3'!J7</f>
        <v>1m28</v>
      </c>
      <c r="F128" s="20" t="str">
        <f>'Allée 3'!M7</f>
        <v>poids
11/28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38"/>
      <c r="C129" s="17"/>
      <c r="D129" s="33" t="s">
        <v>138</v>
      </c>
      <c r="E129" s="19" t="str">
        <f>'Allée 3'!J7</f>
        <v>1m28</v>
      </c>
      <c r="F129" s="20" t="str">
        <f>'Allée 3'!N7</f>
        <v>anxiet
11/28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38"/>
      <c r="C130" s="17"/>
      <c r="D130" s="33" t="s">
        <v>139</v>
      </c>
      <c r="E130" s="19" t="str">
        <f>'Allée 3'!O7</f>
        <v>1m28</v>
      </c>
      <c r="F130" s="20" t="str">
        <f>'Allée 3'!P7</f>
        <v>B/2
eco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38"/>
      <c r="C131" s="17"/>
      <c r="D131" s="33" t="s">
        <v>140</v>
      </c>
      <c r="E131" s="19" t="str">
        <f>'Allée 3'!O7</f>
        <v>1m28</v>
      </c>
      <c r="F131" s="20" t="str">
        <f>'Allée 3'!R7</f>
        <v>D/4
eco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38"/>
      <c r="C132" s="17"/>
      <c r="D132" s="33" t="s">
        <v>141</v>
      </c>
      <c r="E132" s="19" t="str">
        <f>'Allée 3'!O7</f>
        <v>1m28</v>
      </c>
      <c r="F132" s="20" t="str">
        <f>'Allée 3'!S7</f>
        <v>D/4
eco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38"/>
      <c r="C133" s="17"/>
      <c r="D133" s="34" t="s">
        <v>142</v>
      </c>
      <c r="E133" s="19" t="str">
        <f>'Allée 3'!C3</f>
        <v>65cm</v>
      </c>
      <c r="F133" s="20" t="str">
        <f>'Allée 3'!D3</f>
        <v>⚠️
Impossible de stocker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38"/>
      <c r="C134" s="17"/>
      <c r="D134" s="34" t="s">
        <v>143</v>
      </c>
      <c r="E134" s="19" t="str">
        <f>'Allée 3'!J3</f>
        <v>1m28</v>
      </c>
      <c r="F134" s="20" t="str">
        <f>'Allée 3'!F3</f>
        <v>TDO
Je rayonne
jour après jour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38"/>
      <c r="C135" s="17"/>
      <c r="D135" s="34" t="s">
        <v>144</v>
      </c>
      <c r="E135" s="19" t="str">
        <f>'Allée 3'!J3</f>
        <v>1m28</v>
      </c>
      <c r="F135" s="20" t="str">
        <f>'Allée 3'!H3</f>
        <v>TDO
Quartz
Moyen troué
Moyen non-toué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38"/>
      <c r="C136" s="17"/>
      <c r="D136" s="34" t="s">
        <v>145</v>
      </c>
      <c r="E136" s="19" t="str">
        <f>'Allée 3'!J3</f>
        <v>1m28</v>
      </c>
      <c r="F136" s="20" t="str">
        <f>'Allée 3'!K3</f>
        <v>TDO
Oracle de
la lune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38"/>
      <c r="C137" s="17"/>
      <c r="D137" s="34" t="s">
        <v>146</v>
      </c>
      <c r="E137" s="19" t="str">
        <f>'Allée 3'!J3</f>
        <v>1m28</v>
      </c>
      <c r="F137" s="20" t="str">
        <f>'Allée 3'!M3</f>
        <v>coupe-faim
12/28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38"/>
      <c r="C138" s="17"/>
      <c r="D138" s="34" t="s">
        <v>147</v>
      </c>
      <c r="E138" s="19" t="str">
        <f>'Allée 3'!J3</f>
        <v>1m28</v>
      </c>
      <c r="F138" s="20" t="str">
        <f>'Allée 3'!N3</f>
        <v>sommeil
11/28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38"/>
      <c r="C139" s="17"/>
      <c r="D139" s="34" t="s">
        <v>148</v>
      </c>
      <c r="E139" s="19" t="str">
        <f>'Allée 3'!O3</f>
        <v>65cm</v>
      </c>
      <c r="F139" s="20" t="str">
        <f>'Allée 3'!P3</f>
        <v>B/2
eco
PETITE PALETTE
CAR NEON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38"/>
      <c r="C140" s="17"/>
      <c r="D140" s="34" t="s">
        <v>149</v>
      </c>
      <c r="E140" s="19" t="str">
        <f>'Allée 3'!T3</f>
        <v>1m28</v>
      </c>
      <c r="F140" s="20" t="str">
        <f>'Allée 3'!R3</f>
        <v/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38"/>
      <c r="C141" s="17"/>
      <c r="D141" s="34" t="s">
        <v>150</v>
      </c>
      <c r="E141" s="36" t="str">
        <f>'Allée 3'!T3</f>
        <v>1m28</v>
      </c>
      <c r="F141" s="25" t="str">
        <f>'Allée 3'!S3</f>
        <v/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38"/>
      <c r="C142" s="14" t="s">
        <v>151</v>
      </c>
      <c r="D142" s="39" t="s">
        <v>152</v>
      </c>
      <c r="E142" s="39" t="str">
        <f>'Allée 3'!C14</f>
        <v>1m28</v>
      </c>
      <c r="F142" s="40" t="str">
        <f>'Allée 3'!D15</f>
        <v>K &amp; S
PARFUMS
Stock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38"/>
      <c r="C143" s="17"/>
      <c r="D143" s="18" t="s">
        <v>153</v>
      </c>
      <c r="E143" s="18" t="str">
        <f>'Allée 3'!C14</f>
        <v>1m28</v>
      </c>
      <c r="F143" s="20" t="str">
        <f>'Allée 3'!F15</f>
        <v>Stock sécu 
C/3
EXTRA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38"/>
      <c r="C144" s="17"/>
      <c r="D144" s="18" t="s">
        <v>154</v>
      </c>
      <c r="E144" s="18" t="str">
        <f>'Allée 3'!C14</f>
        <v>1m28</v>
      </c>
      <c r="F144" s="20" t="str">
        <f>'Allée 3'!H15</f>
        <v>Divers
Famillia
WEB2CO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38"/>
      <c r="C145" s="17"/>
      <c r="D145" s="18" t="s">
        <v>155</v>
      </c>
      <c r="E145" s="21" t="str">
        <f>'Allée 3'!J14</f>
        <v>1m28</v>
      </c>
      <c r="F145" s="20" t="str">
        <f>'Allée 3'!K15</f>
        <v>TDO
defunts
fees
abondance
univers
energie et créa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38"/>
      <c r="C146" s="17"/>
      <c r="D146" s="18" t="s">
        <v>156</v>
      </c>
      <c r="E146" s="19" t="str">
        <f>'Allée 3'!J14</f>
        <v>1m28</v>
      </c>
      <c r="F146" s="20" t="str">
        <f>'Allée 3'!M15</f>
        <v>TDO
Carnet Emotions
Carnet Gratitude
Carnet des Emotions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38"/>
      <c r="C147" s="17"/>
      <c r="D147" s="18" t="s">
        <v>157</v>
      </c>
      <c r="E147" s="18" t="str">
        <f>'Allée 3'!J14</f>
        <v>1m28</v>
      </c>
      <c r="F147" s="20" t="str">
        <f>'Allée 3'!N15</f>
        <v>TDO
Oracle Mantras
Oracle Message de l'amour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38"/>
      <c r="C148" s="17"/>
      <c r="D148" s="18" t="s">
        <v>158</v>
      </c>
      <c r="E148" s="18" t="str">
        <f>'Allée 3'!O14</f>
        <v>1m28</v>
      </c>
      <c r="F148" s="20" t="str">
        <f>'Allée 3'!P15</f>
        <v>Stock Sécu
4 Flacons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38"/>
      <c r="C149" s="17"/>
      <c r="D149" s="18" t="s">
        <v>159</v>
      </c>
      <c r="E149" s="21" t="str">
        <f>'Allée 3'!O14</f>
        <v>1m28</v>
      </c>
      <c r="F149" s="20" t="str">
        <f>'Allée 3'!R15</f>
        <v/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38"/>
      <c r="C150" s="17"/>
      <c r="D150" s="18" t="s">
        <v>160</v>
      </c>
      <c r="E150" s="21" t="str">
        <f>'Allée 3'!O14</f>
        <v>1m28</v>
      </c>
      <c r="F150" s="20" t="str">
        <f>'Allée 3'!S15</f>
        <v>Stock Sécu
6 Flacons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38"/>
      <c r="C151" s="17"/>
      <c r="D151" s="18" t="s">
        <v>161</v>
      </c>
      <c r="E151" s="19" t="str">
        <f>'Allée 3'!C17</f>
        <v>1m28</v>
      </c>
      <c r="F151" s="20" t="str">
        <f>'Allée 3'!D18</f>
        <v/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38"/>
      <c r="C152" s="17"/>
      <c r="D152" s="18" t="s">
        <v>162</v>
      </c>
      <c r="E152" s="19" t="str">
        <f>'Allée 3'!C17</f>
        <v>1m28</v>
      </c>
      <c r="F152" s="20" t="str">
        <f>'Allée 3'!F18</f>
        <v/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38"/>
      <c r="C153" s="17"/>
      <c r="D153" s="18" t="s">
        <v>163</v>
      </c>
      <c r="E153" s="19" t="str">
        <f>'Allée 3'!C17</f>
        <v>1m28</v>
      </c>
      <c r="F153" s="20" t="str">
        <f>'Allée 3'!H18</f>
        <v/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38"/>
      <c r="C154" s="17"/>
      <c r="D154" s="18" t="s">
        <v>164</v>
      </c>
      <c r="E154" s="19" t="str">
        <f>'Allée 3'!J14</f>
        <v>1m28</v>
      </c>
      <c r="F154" s="20" t="str">
        <f>'Allée 3'!K18</f>
        <v>TDO
Oracle des flammes
jumelles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38"/>
      <c r="C155" s="17"/>
      <c r="D155" s="18" t="s">
        <v>165</v>
      </c>
      <c r="E155" s="19" t="str">
        <f>'Allée 3'!J14</f>
        <v>1m28</v>
      </c>
      <c r="F155" s="20" t="str">
        <f>'Allée 3'!M18</f>
        <v>TDO
Carnet de Lune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38"/>
      <c r="C156" s="17"/>
      <c r="D156" s="18" t="s">
        <v>166</v>
      </c>
      <c r="E156" s="19" t="str">
        <f>'Allée 3'!J14</f>
        <v>1m28</v>
      </c>
      <c r="F156" s="20" t="str">
        <f>'Allée 3'!N18</f>
        <v>TDO
Oracle pratique du Yoga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38"/>
      <c r="C157" s="17"/>
      <c r="D157" s="18" t="s">
        <v>167</v>
      </c>
      <c r="E157" s="19" t="str">
        <f>'Allée 3'!T17</f>
        <v>1m28</v>
      </c>
      <c r="F157" s="20" t="str">
        <f>'Allée 3'!P18</f>
        <v>C/3
ECO
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38"/>
      <c r="C158" s="17"/>
      <c r="D158" s="18" t="s">
        <v>168</v>
      </c>
      <c r="E158" s="19" t="str">
        <f>'Allée 3'!T17</f>
        <v>1m28</v>
      </c>
      <c r="F158" s="20" t="str">
        <f>'Allée 3'!R18</f>
        <v>J/9
EXTRA
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38"/>
      <c r="C159" s="17"/>
      <c r="D159" s="18" t="s">
        <v>169</v>
      </c>
      <c r="E159" s="19" t="str">
        <f>'Allée 3'!T17</f>
        <v>1m28</v>
      </c>
      <c r="F159" s="20" t="str">
        <f>'Allée 3'!S18</f>
        <v/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38"/>
      <c r="C160" s="17"/>
      <c r="D160" s="18" t="s">
        <v>170</v>
      </c>
      <c r="E160" s="19" t="str">
        <f>'Allée 3'!C21</f>
        <v>65cm</v>
      </c>
      <c r="F160" s="20" t="str">
        <f>'Allée 3'!D22</f>
        <v>⚠️
Impossible de stocker
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38"/>
      <c r="C161" s="17"/>
      <c r="D161" s="18" t="s">
        <v>171</v>
      </c>
      <c r="E161" s="19" t="str">
        <f>'Allée 3'!C21</f>
        <v>65cm</v>
      </c>
      <c r="F161" s="20" t="str">
        <f>'Allée 3'!F22</f>
        <v>⚠️
Impossible de stocker
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38"/>
      <c r="C162" s="17"/>
      <c r="D162" s="18" t="s">
        <v>172</v>
      </c>
      <c r="E162" s="19" t="str">
        <f>'Allée 3'!J21</f>
        <v>1m28</v>
      </c>
      <c r="F162" s="20" t="str">
        <f>'Allée 3'!H22</f>
        <v>TDO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38"/>
      <c r="C163" s="17"/>
      <c r="D163" s="18" t="s">
        <v>173</v>
      </c>
      <c r="E163" s="19" t="str">
        <f>'Allée 3'!J21</f>
        <v>1m28</v>
      </c>
      <c r="F163" s="20" t="str">
        <f>'Allée 3'!K22</f>
        <v>Message de l'âme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38"/>
      <c r="C164" s="17"/>
      <c r="D164" s="18" t="s">
        <v>174</v>
      </c>
      <c r="E164" s="19" t="str">
        <f>'Allée 3'!J21</f>
        <v>1m28</v>
      </c>
      <c r="F164" s="20" t="str">
        <f>'Allée 3'!M22</f>
        <v>TDO
carnet envies
carnet intuitions
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38"/>
      <c r="C165" s="17"/>
      <c r="D165" s="18" t="s">
        <v>175</v>
      </c>
      <c r="E165" s="19" t="str">
        <f>'Allée 3'!J21</f>
        <v>1m28</v>
      </c>
      <c r="F165" s="20" t="str">
        <f>'Allée 3'!N22</f>
        <v>TDO
Oracle
Essence du Yoga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38"/>
      <c r="C166" s="17"/>
      <c r="D166" s="18" t="s">
        <v>176</v>
      </c>
      <c r="E166" s="19" t="str">
        <f>'Allée 3'!T21</f>
        <v>1m28</v>
      </c>
      <c r="F166" s="20" t="str">
        <f>'Allée 3'!P22</f>
        <v/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38"/>
      <c r="C167" s="17"/>
      <c r="D167" s="18" t="s">
        <v>177</v>
      </c>
      <c r="E167" s="19" t="str">
        <f>'Allée 3'!T21</f>
        <v>1m28</v>
      </c>
      <c r="F167" s="20" t="str">
        <f>'Allée 3'!R22</f>
        <v/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41"/>
      <c r="C168" s="42"/>
      <c r="D168" s="43" t="s">
        <v>178</v>
      </c>
      <c r="E168" s="44" t="str">
        <f>'Allée 3'!T21</f>
        <v>1m28</v>
      </c>
      <c r="F168" s="45" t="str">
        <f>'Allée 3'!S22</f>
        <v/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46" t="s">
        <v>179</v>
      </c>
      <c r="C169" s="14" t="s">
        <v>180</v>
      </c>
      <c r="D169" s="39" t="s">
        <v>181</v>
      </c>
      <c r="E169" s="39" t="str">
        <f>'Zone de Picking'!C8</f>
        <v>1m80</v>
      </c>
      <c r="F169" s="40" t="str">
        <f>'Zone de Picking'!D8</f>
        <v>Coffret 
Angels Universe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38"/>
      <c r="C170" s="17"/>
      <c r="D170" s="18" t="s">
        <v>182</v>
      </c>
      <c r="E170" s="28" t="str">
        <f>'Zone de Picking'!F8</f>
        <v>1m80</v>
      </c>
      <c r="F170" s="20" t="str">
        <f>'Zone de Picking'!E8</f>
        <v>Consommables
Angels universe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38"/>
      <c r="C171" s="17"/>
      <c r="D171" s="18" t="s">
        <v>183</v>
      </c>
      <c r="E171" s="30" t="str">
        <f>'Zone de Picking'!C5</f>
        <v>1m28</v>
      </c>
      <c r="F171" s="20" t="str">
        <f>'Zone de Picking'!D5</f>
        <v>Consommables 
ANGELS
UNIVERSE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38"/>
      <c r="C172" s="17"/>
      <c r="D172" s="18" t="s">
        <v>184</v>
      </c>
      <c r="E172" s="30" t="str">
        <f>'Zone de Picking'!F5</f>
        <v>0cm</v>
      </c>
      <c r="F172" s="20" t="str">
        <f>'Zone de Picking'!E5</f>
        <v>⚠️
Impossible de stocker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38"/>
      <c r="C173" s="17"/>
      <c r="D173" s="18" t="s">
        <v>185</v>
      </c>
      <c r="E173" s="30" t="str">
        <f>'Zone de Picking'!C2</f>
        <v>1m28</v>
      </c>
      <c r="F173" s="20" t="str">
        <f>'Zone de Picking'!D2</f>
        <v>Consommables 
ANGELS
UNIVERSE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41"/>
      <c r="C174" s="42"/>
      <c r="D174" s="18" t="s">
        <v>186</v>
      </c>
      <c r="E174" s="30" t="str">
        <f>'Zone de Picking'!F2</f>
        <v>0cm</v>
      </c>
      <c r="F174" s="20" t="str">
        <f>'Zone de Picking'!E2</f>
        <v>⚠️
Impossible de stocker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</sheetData>
  <mergeCells count="13">
    <mergeCell ref="B55:B114"/>
    <mergeCell ref="B115:B168"/>
    <mergeCell ref="B169:B174"/>
    <mergeCell ref="C115:C141"/>
    <mergeCell ref="C142:C168"/>
    <mergeCell ref="C169:C174"/>
    <mergeCell ref="B2:D2"/>
    <mergeCell ref="B4:E4"/>
    <mergeCell ref="B7:B54"/>
    <mergeCell ref="C7:C21"/>
    <mergeCell ref="C22:C54"/>
    <mergeCell ref="C55:C87"/>
    <mergeCell ref="C88:C11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38"/>
    <col customWidth="1" min="3" max="3" width="3.38"/>
    <col customWidth="1" min="4" max="4" width="9.88"/>
    <col customWidth="1" min="5" max="5" width="3.38"/>
    <col customWidth="1" min="7" max="7" width="4.13"/>
    <col customWidth="1" min="9" max="9" width="3.5"/>
    <col customWidth="1" min="10" max="10" width="15.88"/>
    <col customWidth="1" min="11" max="11" width="3.63"/>
    <col customWidth="1" min="12" max="12" width="13.0"/>
    <col customWidth="1" min="13" max="13" width="13.38"/>
    <col customWidth="1" min="14" max="14" width="4.13"/>
    <col customWidth="1" min="15" max="15" width="13.25"/>
    <col customWidth="1" min="16" max="16" width="3.88"/>
    <col customWidth="1" min="17" max="17" width="15.88"/>
    <col customWidth="1" min="18" max="18" width="2.13"/>
    <col customWidth="1" min="19" max="19" width="4.25"/>
    <col customWidth="1" min="20" max="20" width="14.38"/>
    <col customWidth="1" min="21" max="21" width="3.75"/>
    <col customWidth="1" min="22" max="22" width="14.38"/>
    <col customWidth="1" min="23" max="23" width="2.13"/>
    <col customWidth="1" min="24" max="24" width="14.25"/>
    <col customWidth="1" min="25" max="25" width="3.38"/>
    <col customWidth="1" min="26" max="26" width="14.25"/>
    <col customWidth="1" min="27" max="27" width="2.63"/>
  </cols>
  <sheetData>
    <row r="1">
      <c r="E1" s="47"/>
    </row>
    <row r="2" ht="15.75" customHeight="1">
      <c r="B2" s="48" t="s">
        <v>187</v>
      </c>
      <c r="G2" s="49"/>
      <c r="J2" s="50"/>
      <c r="K2" s="51"/>
      <c r="L2" s="52" t="s">
        <v>187</v>
      </c>
      <c r="N2" s="49"/>
      <c r="O2" s="53"/>
      <c r="P2" s="54"/>
      <c r="S2" s="50"/>
      <c r="U2" s="51"/>
      <c r="V2" s="48" t="s">
        <v>187</v>
      </c>
      <c r="W2" s="55"/>
      <c r="X2" s="55"/>
      <c r="Y2" s="56"/>
      <c r="Z2" s="56"/>
      <c r="AA2" s="56"/>
    </row>
    <row r="3" ht="81.75" customHeight="1">
      <c r="G3" s="49" t="s">
        <v>188</v>
      </c>
      <c r="H3" s="57" t="s">
        <v>189</v>
      </c>
      <c r="J3" s="58" t="s">
        <v>189</v>
      </c>
      <c r="K3" s="51"/>
      <c r="N3" s="49" t="s">
        <v>188</v>
      </c>
      <c r="O3" s="57" t="s">
        <v>190</v>
      </c>
      <c r="Q3" s="58" t="s">
        <v>190</v>
      </c>
      <c r="R3" s="54"/>
      <c r="S3" s="57" t="s">
        <v>190</v>
      </c>
      <c r="U3" s="51"/>
      <c r="W3" s="55"/>
      <c r="X3" s="59" t="s">
        <v>191</v>
      </c>
      <c r="Y3" s="60"/>
      <c r="Z3" s="61" t="s">
        <v>192</v>
      </c>
      <c r="AA3" s="56"/>
    </row>
    <row r="4" ht="15.75" customHeight="1">
      <c r="H4" s="62" t="s">
        <v>24</v>
      </c>
      <c r="J4" s="63" t="s">
        <v>23</v>
      </c>
      <c r="O4" s="62" t="s">
        <v>22</v>
      </c>
      <c r="Q4" s="63" t="s">
        <v>21</v>
      </c>
      <c r="R4" s="54"/>
      <c r="S4" s="62" t="s">
        <v>20</v>
      </c>
      <c r="U4" s="51"/>
      <c r="W4" s="55"/>
      <c r="Y4" s="60"/>
      <c r="AA4" s="56"/>
    </row>
    <row r="5" ht="15.75" customHeight="1">
      <c r="G5" s="64"/>
      <c r="H5" s="64"/>
      <c r="J5" s="65"/>
      <c r="K5" s="64"/>
      <c r="N5" s="64"/>
      <c r="O5" s="64"/>
      <c r="Q5" s="65"/>
      <c r="S5" s="65"/>
      <c r="U5" s="64"/>
      <c r="W5" s="55"/>
      <c r="Y5" s="66"/>
      <c r="AA5" s="56"/>
    </row>
    <row r="6" ht="79.5" customHeight="1">
      <c r="G6" s="49" t="s">
        <v>188</v>
      </c>
      <c r="H6" s="57"/>
      <c r="J6" s="58"/>
      <c r="K6" s="51"/>
      <c r="N6" s="49" t="s">
        <v>188</v>
      </c>
      <c r="O6" s="57" t="s">
        <v>190</v>
      </c>
      <c r="Q6" s="58" t="s">
        <v>190</v>
      </c>
      <c r="R6" s="54"/>
      <c r="S6" s="57" t="s">
        <v>190</v>
      </c>
      <c r="U6" s="51"/>
      <c r="W6" s="55"/>
      <c r="Y6" s="60"/>
      <c r="AA6" s="56"/>
    </row>
    <row r="7">
      <c r="H7" s="62" t="s">
        <v>19</v>
      </c>
      <c r="J7" s="63" t="s">
        <v>18</v>
      </c>
      <c r="O7" s="62" t="s">
        <v>17</v>
      </c>
      <c r="Q7" s="63" t="s">
        <v>16</v>
      </c>
      <c r="R7" s="54"/>
      <c r="S7" s="62" t="s">
        <v>15</v>
      </c>
      <c r="U7" s="51"/>
      <c r="W7" s="56"/>
      <c r="Y7" s="60"/>
      <c r="AA7" s="56"/>
    </row>
    <row r="8">
      <c r="G8" s="64"/>
      <c r="H8" s="64"/>
      <c r="J8" s="65"/>
      <c r="K8" s="64"/>
      <c r="N8" s="64"/>
      <c r="O8" s="64"/>
      <c r="Q8" s="65"/>
      <c r="S8" s="65"/>
      <c r="U8" s="64"/>
      <c r="W8" s="56"/>
      <c r="Y8" s="60"/>
      <c r="AA8" s="56"/>
    </row>
    <row r="9" ht="85.5" customHeight="1">
      <c r="G9" s="49" t="s">
        <v>188</v>
      </c>
      <c r="H9" s="57" t="s">
        <v>193</v>
      </c>
      <c r="J9" s="58" t="s">
        <v>193</v>
      </c>
      <c r="K9" s="51"/>
      <c r="N9" s="49" t="s">
        <v>194</v>
      </c>
      <c r="O9" s="57" t="s">
        <v>195</v>
      </c>
      <c r="Q9" s="58" t="s">
        <v>195</v>
      </c>
      <c r="S9" s="58" t="s">
        <v>195</v>
      </c>
      <c r="U9" s="51"/>
    </row>
    <row r="10" ht="18.0" customHeight="1">
      <c r="H10" s="62" t="s">
        <v>14</v>
      </c>
      <c r="J10" s="63" t="s">
        <v>13</v>
      </c>
      <c r="O10" s="62" t="s">
        <v>12</v>
      </c>
      <c r="Q10" s="63" t="s">
        <v>11</v>
      </c>
      <c r="R10" s="54"/>
      <c r="S10" s="62" t="s">
        <v>10</v>
      </c>
      <c r="U10" s="51"/>
      <c r="W10" s="67"/>
      <c r="X10" s="67"/>
    </row>
    <row r="11" ht="75.75" customHeight="1">
      <c r="B11" s="68" t="s">
        <v>196</v>
      </c>
      <c r="C11" s="69"/>
      <c r="D11" s="70" t="s">
        <v>197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>
      <c r="C12" s="72"/>
      <c r="D12" s="73" t="s">
        <v>36</v>
      </c>
      <c r="E12" s="71"/>
      <c r="F12" s="74" t="s">
        <v>35</v>
      </c>
      <c r="G12" s="74" t="s">
        <v>34</v>
      </c>
      <c r="H12" s="71"/>
      <c r="I12" s="75"/>
      <c r="J12" s="73" t="s">
        <v>33</v>
      </c>
      <c r="K12" s="71"/>
      <c r="L12" s="74" t="s">
        <v>32</v>
      </c>
      <c r="M12" s="74" t="s">
        <v>31</v>
      </c>
      <c r="N12" s="75"/>
      <c r="O12" s="73" t="s">
        <v>30</v>
      </c>
      <c r="P12" s="71"/>
      <c r="Q12" s="76" t="s">
        <v>29</v>
      </c>
      <c r="R12" s="77"/>
      <c r="S12" s="73" t="s">
        <v>28</v>
      </c>
      <c r="T12" s="71"/>
      <c r="U12" s="75"/>
      <c r="V12" s="73" t="s">
        <v>27</v>
      </c>
      <c r="W12" s="71"/>
      <c r="X12" s="76" t="s">
        <v>26</v>
      </c>
      <c r="Y12" s="75"/>
    </row>
    <row r="13" ht="86.25" customHeight="1">
      <c r="C13" s="49" t="s">
        <v>188</v>
      </c>
      <c r="D13" s="57" t="s">
        <v>198</v>
      </c>
      <c r="E13" s="54"/>
      <c r="F13" s="78" t="s">
        <v>199</v>
      </c>
      <c r="G13" s="57" t="s">
        <v>190</v>
      </c>
      <c r="I13" s="49" t="s">
        <v>188</v>
      </c>
      <c r="J13" s="57" t="s">
        <v>190</v>
      </c>
      <c r="L13" s="79" t="s">
        <v>200</v>
      </c>
      <c r="M13" s="57" t="s">
        <v>200</v>
      </c>
      <c r="N13" s="72"/>
      <c r="O13" s="57" t="s">
        <v>201</v>
      </c>
      <c r="Q13" s="58" t="s">
        <v>202</v>
      </c>
      <c r="R13" s="54"/>
      <c r="S13" s="57" t="s">
        <v>203</v>
      </c>
      <c r="U13" s="49" t="s">
        <v>194</v>
      </c>
      <c r="V13" s="57" t="s">
        <v>203</v>
      </c>
      <c r="X13" s="58" t="s">
        <v>204</v>
      </c>
      <c r="Y13" s="49" t="s">
        <v>194</v>
      </c>
    </row>
    <row r="14">
      <c r="D14" s="64"/>
      <c r="E14" s="80"/>
      <c r="F14" s="80"/>
      <c r="G14" s="64"/>
      <c r="H14" s="64"/>
      <c r="J14" s="64"/>
      <c r="K14" s="80"/>
      <c r="L14" s="80"/>
      <c r="M14" s="64"/>
      <c r="N14" s="64"/>
      <c r="Q14" s="81"/>
      <c r="R14" s="54"/>
      <c r="X14" s="81"/>
    </row>
    <row r="15" ht="19.5" customHeight="1">
      <c r="C15" s="49" t="s">
        <v>188</v>
      </c>
      <c r="D15" s="62" t="s">
        <v>47</v>
      </c>
      <c r="F15" s="82" t="s">
        <v>46</v>
      </c>
      <c r="G15" s="82" t="s">
        <v>45</v>
      </c>
      <c r="I15" s="49" t="s">
        <v>188</v>
      </c>
      <c r="J15" s="62" t="s">
        <v>44</v>
      </c>
      <c r="L15" s="82" t="s">
        <v>43</v>
      </c>
      <c r="M15" s="82" t="s">
        <v>42</v>
      </c>
      <c r="N15" s="64"/>
      <c r="O15" s="64"/>
      <c r="P15" s="64"/>
      <c r="Q15" s="65"/>
      <c r="R15" s="80"/>
      <c r="S15" s="64"/>
      <c r="T15" s="64"/>
      <c r="U15" s="64"/>
      <c r="V15" s="64"/>
      <c r="W15" s="64"/>
      <c r="X15" s="65"/>
      <c r="Y15" s="64"/>
    </row>
    <row r="16" ht="19.5" customHeight="1">
      <c r="D16" s="57" t="s">
        <v>205</v>
      </c>
      <c r="F16" s="79" t="s">
        <v>206</v>
      </c>
      <c r="G16" s="57" t="s">
        <v>190</v>
      </c>
      <c r="J16" s="57" t="s">
        <v>200</v>
      </c>
      <c r="K16" s="54"/>
      <c r="L16" s="78" t="s">
        <v>200</v>
      </c>
      <c r="M16" s="57" t="s">
        <v>200</v>
      </c>
      <c r="N16" s="72"/>
      <c r="O16" s="62" t="s">
        <v>41</v>
      </c>
      <c r="Q16" s="63" t="s">
        <v>40</v>
      </c>
      <c r="R16" s="54"/>
      <c r="S16" s="62" t="s">
        <v>39</v>
      </c>
      <c r="U16" s="49" t="s">
        <v>188</v>
      </c>
      <c r="V16" s="62" t="s">
        <v>38</v>
      </c>
      <c r="X16" s="63" t="s">
        <v>37</v>
      </c>
      <c r="Y16" s="49" t="s">
        <v>188</v>
      </c>
    </row>
    <row r="17" ht="72.75" customHeight="1">
      <c r="F17" s="83"/>
      <c r="K17" s="54"/>
      <c r="L17" s="54"/>
      <c r="N17" s="72"/>
      <c r="O17" s="57" t="s">
        <v>207</v>
      </c>
      <c r="Q17" s="58" t="s">
        <v>208</v>
      </c>
      <c r="R17" s="54"/>
      <c r="S17" s="57" t="s">
        <v>209</v>
      </c>
      <c r="V17" s="57" t="s">
        <v>208</v>
      </c>
      <c r="X17" s="58" t="s">
        <v>208</v>
      </c>
    </row>
    <row r="18">
      <c r="C18" s="64"/>
      <c r="D18" s="64"/>
      <c r="E18" s="80"/>
      <c r="F18" s="80"/>
      <c r="G18" s="64"/>
      <c r="H18" s="64"/>
      <c r="I18" s="64"/>
      <c r="J18" s="64"/>
      <c r="K18" s="80"/>
      <c r="L18" s="84"/>
      <c r="M18" s="64"/>
      <c r="N18" s="64"/>
      <c r="Q18" s="81"/>
      <c r="R18" s="54"/>
      <c r="X18" s="81"/>
    </row>
    <row r="19">
      <c r="C19" s="49" t="s">
        <v>210</v>
      </c>
      <c r="D19" s="62" t="s">
        <v>58</v>
      </c>
      <c r="F19" s="82" t="s">
        <v>57</v>
      </c>
      <c r="G19" s="82" t="s">
        <v>56</v>
      </c>
      <c r="I19" s="49" t="s">
        <v>188</v>
      </c>
      <c r="J19" s="62" t="s">
        <v>55</v>
      </c>
      <c r="L19" s="85" t="s">
        <v>54</v>
      </c>
      <c r="M19" s="82" t="s">
        <v>53</v>
      </c>
      <c r="N19" s="64"/>
      <c r="O19" s="64"/>
      <c r="P19" s="64"/>
      <c r="Q19" s="65"/>
      <c r="R19" s="80"/>
      <c r="S19" s="64"/>
      <c r="T19" s="64"/>
      <c r="U19" s="64"/>
      <c r="V19" s="64"/>
      <c r="W19" s="64"/>
      <c r="X19" s="65"/>
      <c r="Y19" s="64"/>
    </row>
    <row r="20" ht="19.5" customHeight="1">
      <c r="D20" s="57" t="s">
        <v>189</v>
      </c>
      <c r="F20" s="79" t="s">
        <v>190</v>
      </c>
      <c r="G20" s="57" t="s">
        <v>211</v>
      </c>
      <c r="J20" s="57" t="s">
        <v>212</v>
      </c>
      <c r="L20" s="79" t="s">
        <v>201</v>
      </c>
      <c r="M20" s="57" t="s">
        <v>213</v>
      </c>
      <c r="N20" s="72"/>
      <c r="O20" s="62" t="s">
        <v>52</v>
      </c>
      <c r="Q20" s="63" t="s">
        <v>51</v>
      </c>
      <c r="R20" s="54"/>
      <c r="S20" s="62" t="s">
        <v>50</v>
      </c>
      <c r="U20" s="49" t="s">
        <v>188</v>
      </c>
      <c r="V20" s="62" t="s">
        <v>49</v>
      </c>
      <c r="X20" s="63" t="s">
        <v>48</v>
      </c>
      <c r="Y20" s="49" t="s">
        <v>188</v>
      </c>
    </row>
    <row r="21" ht="74.25" customHeight="1">
      <c r="F21" s="83"/>
      <c r="L21" s="83"/>
      <c r="N21" s="72"/>
      <c r="O21" s="57" t="s">
        <v>214</v>
      </c>
      <c r="Q21" s="58" t="s">
        <v>215</v>
      </c>
      <c r="R21" s="54"/>
      <c r="S21" s="57" t="s">
        <v>216</v>
      </c>
      <c r="V21" s="57" t="s">
        <v>208</v>
      </c>
      <c r="X21" s="58" t="s">
        <v>208</v>
      </c>
    </row>
    <row r="22">
      <c r="C22" s="51"/>
      <c r="D22" s="62"/>
      <c r="F22" s="86"/>
      <c r="G22" s="62"/>
      <c r="I22" s="72"/>
      <c r="J22" s="62"/>
      <c r="L22" s="86"/>
      <c r="M22" s="47"/>
      <c r="N22" s="72"/>
      <c r="Q22" s="81"/>
      <c r="R22" s="54"/>
      <c r="X22" s="81"/>
    </row>
    <row r="23">
      <c r="N23" s="72"/>
      <c r="Q23" s="50"/>
      <c r="R23" s="87"/>
      <c r="U23" s="72"/>
      <c r="Y23" s="72"/>
    </row>
  </sheetData>
  <mergeCells count="118">
    <mergeCell ref="H2:I2"/>
    <mergeCell ref="H3:I3"/>
    <mergeCell ref="H10:I10"/>
    <mergeCell ref="K3:K4"/>
    <mergeCell ref="N3:N4"/>
    <mergeCell ref="K9:K10"/>
    <mergeCell ref="N9:N10"/>
    <mergeCell ref="O3:P3"/>
    <mergeCell ref="Q3:R3"/>
    <mergeCell ref="V2:V10"/>
    <mergeCell ref="X3:X8"/>
    <mergeCell ref="Z3:Z8"/>
    <mergeCell ref="O2:P2"/>
    <mergeCell ref="O4:P4"/>
    <mergeCell ref="O9:P9"/>
    <mergeCell ref="O10:P10"/>
    <mergeCell ref="Q4:R4"/>
    <mergeCell ref="S4:T4"/>
    <mergeCell ref="Q5:R5"/>
    <mergeCell ref="S5:T5"/>
    <mergeCell ref="Q9:R9"/>
    <mergeCell ref="S9:T9"/>
    <mergeCell ref="Q10:R10"/>
    <mergeCell ref="S10:T10"/>
    <mergeCell ref="H5:I5"/>
    <mergeCell ref="O5:P5"/>
    <mergeCell ref="G6:G7"/>
    <mergeCell ref="H6:I6"/>
    <mergeCell ref="H7:I7"/>
    <mergeCell ref="K6:K7"/>
    <mergeCell ref="N6:N7"/>
    <mergeCell ref="O6:P6"/>
    <mergeCell ref="Q6:R6"/>
    <mergeCell ref="H8:I8"/>
    <mergeCell ref="O8:P8"/>
    <mergeCell ref="Q8:R8"/>
    <mergeCell ref="S8:T8"/>
    <mergeCell ref="G9:G10"/>
    <mergeCell ref="H9:I9"/>
    <mergeCell ref="Q13:R14"/>
    <mergeCell ref="S13:T14"/>
    <mergeCell ref="X13:X14"/>
    <mergeCell ref="Y13:Y14"/>
    <mergeCell ref="B11:C11"/>
    <mergeCell ref="D11:X11"/>
    <mergeCell ref="G12:H12"/>
    <mergeCell ref="J12:K12"/>
    <mergeCell ref="Q12:R12"/>
    <mergeCell ref="C13:C14"/>
    <mergeCell ref="J13:K13"/>
    <mergeCell ref="I15:I17"/>
    <mergeCell ref="I19:I21"/>
    <mergeCell ref="F16:F17"/>
    <mergeCell ref="F20:F21"/>
    <mergeCell ref="J19:K19"/>
    <mergeCell ref="J20:K21"/>
    <mergeCell ref="G13:H13"/>
    <mergeCell ref="I13:I14"/>
    <mergeCell ref="G15:H15"/>
    <mergeCell ref="J15:K15"/>
    <mergeCell ref="G16:H17"/>
    <mergeCell ref="G19:H19"/>
    <mergeCell ref="G20:H21"/>
    <mergeCell ref="O21:P22"/>
    <mergeCell ref="Q21:R22"/>
    <mergeCell ref="V20:W20"/>
    <mergeCell ref="V21:W22"/>
    <mergeCell ref="L20:L21"/>
    <mergeCell ref="M20:M21"/>
    <mergeCell ref="Q20:R20"/>
    <mergeCell ref="S20:T20"/>
    <mergeCell ref="U20:U22"/>
    <mergeCell ref="Y20:Y22"/>
    <mergeCell ref="S21:T22"/>
    <mergeCell ref="X21:X22"/>
    <mergeCell ref="S6:T6"/>
    <mergeCell ref="O7:P7"/>
    <mergeCell ref="Q7:R7"/>
    <mergeCell ref="S7:T7"/>
    <mergeCell ref="B2:F10"/>
    <mergeCell ref="L2:M10"/>
    <mergeCell ref="Q2:R2"/>
    <mergeCell ref="S2:T2"/>
    <mergeCell ref="G3:G4"/>
    <mergeCell ref="S3:T3"/>
    <mergeCell ref="H4:I4"/>
    <mergeCell ref="S12:T12"/>
    <mergeCell ref="V12:W12"/>
    <mergeCell ref="O12:P12"/>
    <mergeCell ref="O13:P14"/>
    <mergeCell ref="O16:P16"/>
    <mergeCell ref="O17:P18"/>
    <mergeCell ref="O20:P20"/>
    <mergeCell ref="U13:U14"/>
    <mergeCell ref="V13:W14"/>
    <mergeCell ref="U16:U18"/>
    <mergeCell ref="V16:W16"/>
    <mergeCell ref="Y16:Y18"/>
    <mergeCell ref="V17:W18"/>
    <mergeCell ref="X17:X18"/>
    <mergeCell ref="J16:K17"/>
    <mergeCell ref="L16:L17"/>
    <mergeCell ref="M16:M17"/>
    <mergeCell ref="Q16:R16"/>
    <mergeCell ref="S16:T16"/>
    <mergeCell ref="Q17:R18"/>
    <mergeCell ref="S17:T18"/>
    <mergeCell ref="D20:E21"/>
    <mergeCell ref="D22:E22"/>
    <mergeCell ref="G22:H22"/>
    <mergeCell ref="J22:K22"/>
    <mergeCell ref="D12:E12"/>
    <mergeCell ref="D13:E13"/>
    <mergeCell ref="C15:C17"/>
    <mergeCell ref="D15:E15"/>
    <mergeCell ref="D16:E17"/>
    <mergeCell ref="C19:C21"/>
    <mergeCell ref="D19:E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38"/>
    <col customWidth="1" min="3" max="3" width="3.25"/>
    <col customWidth="1" min="4" max="4" width="6.63"/>
    <col customWidth="1" min="5" max="5" width="7.0"/>
    <col customWidth="1" min="6" max="6" width="9.38"/>
    <col customWidth="1" min="7" max="7" width="4.13"/>
    <col customWidth="1" min="8" max="8" width="8.63"/>
    <col customWidth="1" min="9" max="9" width="5.25"/>
    <col customWidth="1" min="10" max="10" width="3.25"/>
    <col customWidth="1" min="11" max="11" width="5.38"/>
    <col customWidth="1" min="12" max="12" width="7.75"/>
    <col customWidth="1" min="14" max="14" width="11.75"/>
    <col customWidth="1" min="15" max="15" width="3.38"/>
    <col customWidth="1" min="16" max="16" width="8.38"/>
    <col customWidth="1" min="17" max="17" width="5.25"/>
    <col customWidth="1" min="18" max="18" width="13.75"/>
    <col customWidth="1" min="19" max="19" width="14.38"/>
    <col customWidth="1" min="20" max="20" width="3.63"/>
    <col customWidth="1" min="21" max="21" width="8.88"/>
    <col customWidth="1" min="22" max="22" width="5.25"/>
    <col customWidth="1" min="23" max="23" width="5.75"/>
    <col customWidth="1" min="24" max="24" width="7.88"/>
    <col customWidth="1" min="25" max="25" width="3.63"/>
  </cols>
  <sheetData>
    <row r="1">
      <c r="B1" s="88"/>
      <c r="D1" s="89"/>
      <c r="E1" s="89"/>
      <c r="F1" s="89"/>
      <c r="G1" s="89"/>
      <c r="H1" s="89"/>
      <c r="I1" s="89"/>
      <c r="J1" s="90"/>
      <c r="K1" s="89"/>
      <c r="L1" s="89"/>
      <c r="M1" s="89"/>
      <c r="N1" s="90"/>
      <c r="O1" s="90"/>
      <c r="P1" s="89"/>
      <c r="Q1" s="89"/>
      <c r="R1" s="91"/>
      <c r="S1" s="91"/>
      <c r="T1" s="90"/>
      <c r="U1" s="89"/>
      <c r="V1" s="89"/>
      <c r="W1" s="91"/>
      <c r="X1" s="91"/>
    </row>
    <row r="2">
      <c r="B2" s="88"/>
      <c r="D2" s="89"/>
      <c r="F2" s="89"/>
      <c r="H2" s="89"/>
      <c r="J2" s="90"/>
      <c r="K2" s="89"/>
      <c r="M2" s="89"/>
      <c r="N2" s="90"/>
      <c r="O2" s="92"/>
      <c r="P2" s="57" t="s">
        <v>217</v>
      </c>
      <c r="R2" s="93" t="s">
        <v>218</v>
      </c>
      <c r="S2" s="93" t="s">
        <v>218</v>
      </c>
      <c r="T2" s="94" t="s">
        <v>219</v>
      </c>
      <c r="U2" s="57" t="s">
        <v>220</v>
      </c>
      <c r="V2" s="54"/>
      <c r="W2" s="57" t="s">
        <v>216</v>
      </c>
      <c r="Y2" s="49" t="s">
        <v>219</v>
      </c>
    </row>
    <row r="3" ht="86.25" customHeight="1">
      <c r="B3" s="57"/>
      <c r="C3" s="49" t="s">
        <v>210</v>
      </c>
      <c r="D3" s="58" t="s">
        <v>189</v>
      </c>
      <c r="F3" s="58" t="s">
        <v>189</v>
      </c>
      <c r="G3" s="54"/>
      <c r="H3" s="95" t="s">
        <v>221</v>
      </c>
      <c r="J3" s="94" t="s">
        <v>188</v>
      </c>
      <c r="K3" s="95" t="s">
        <v>221</v>
      </c>
      <c r="L3" s="54"/>
      <c r="M3" s="96" t="s">
        <v>221</v>
      </c>
      <c r="N3" s="95" t="s">
        <v>221</v>
      </c>
      <c r="O3" s="94" t="s">
        <v>210</v>
      </c>
      <c r="R3" s="81"/>
      <c r="S3" s="81"/>
      <c r="V3" s="54"/>
    </row>
    <row r="4">
      <c r="D4" s="81"/>
      <c r="F4" s="81"/>
      <c r="G4" s="54"/>
      <c r="L4" s="54"/>
      <c r="M4" s="54"/>
      <c r="P4" s="97" t="s">
        <v>87</v>
      </c>
      <c r="R4" s="98" t="s">
        <v>86</v>
      </c>
      <c r="S4" s="97" t="s">
        <v>85</v>
      </c>
      <c r="U4" s="97" t="s">
        <v>84</v>
      </c>
      <c r="V4" s="54"/>
      <c r="W4" s="97" t="s">
        <v>83</v>
      </c>
    </row>
    <row r="5" ht="19.5" customHeight="1">
      <c r="D5" s="89" t="s">
        <v>93</v>
      </c>
      <c r="F5" s="99" t="s">
        <v>92</v>
      </c>
      <c r="G5" s="54"/>
      <c r="H5" s="89" t="s">
        <v>91</v>
      </c>
      <c r="K5" s="89" t="s">
        <v>90</v>
      </c>
      <c r="M5" s="100" t="s">
        <v>89</v>
      </c>
      <c r="N5" s="99" t="s">
        <v>88</v>
      </c>
      <c r="O5" s="101"/>
      <c r="P5" s="101"/>
      <c r="Q5" s="102"/>
      <c r="R5" s="102"/>
      <c r="S5" s="101"/>
      <c r="T5" s="101"/>
      <c r="U5" s="101"/>
      <c r="V5" s="102"/>
      <c r="W5" s="101"/>
      <c r="X5" s="101"/>
      <c r="Y5" s="64"/>
    </row>
    <row r="6" ht="19.5" customHeight="1">
      <c r="B6" s="47"/>
      <c r="C6" s="64"/>
      <c r="D6" s="101"/>
      <c r="E6" s="101"/>
      <c r="F6" s="103"/>
      <c r="G6" s="102"/>
      <c r="H6" s="101"/>
      <c r="I6" s="101"/>
      <c r="J6" s="101"/>
      <c r="K6" s="101"/>
      <c r="L6" s="101"/>
      <c r="M6" s="104"/>
      <c r="N6" s="103"/>
      <c r="O6" s="101"/>
      <c r="P6" s="93" t="s">
        <v>218</v>
      </c>
      <c r="R6" s="93" t="s">
        <v>218</v>
      </c>
      <c r="S6" s="93" t="s">
        <v>218</v>
      </c>
      <c r="T6" s="94" t="s">
        <v>188</v>
      </c>
      <c r="U6" s="57" t="s">
        <v>208</v>
      </c>
      <c r="V6" s="54"/>
      <c r="W6" s="57" t="s">
        <v>208</v>
      </c>
      <c r="Y6" s="49" t="s">
        <v>188</v>
      </c>
    </row>
    <row r="7" ht="72.75" customHeight="1">
      <c r="C7" s="49" t="s">
        <v>188</v>
      </c>
      <c r="D7" s="93" t="s">
        <v>218</v>
      </c>
      <c r="F7" s="93" t="s">
        <v>218</v>
      </c>
      <c r="H7" s="93" t="s">
        <v>218</v>
      </c>
      <c r="J7" s="94" t="s">
        <v>219</v>
      </c>
      <c r="K7" s="95" t="s">
        <v>221</v>
      </c>
      <c r="M7" s="105" t="s">
        <v>221</v>
      </c>
      <c r="N7" s="105" t="s">
        <v>221</v>
      </c>
      <c r="O7" s="94" t="s">
        <v>188</v>
      </c>
      <c r="P7" s="81"/>
      <c r="R7" s="81"/>
      <c r="S7" s="81"/>
      <c r="V7" s="54"/>
    </row>
    <row r="8">
      <c r="D8" s="81"/>
      <c r="F8" s="81"/>
      <c r="H8" s="81"/>
      <c r="M8" s="81"/>
      <c r="N8" s="81"/>
      <c r="P8" s="97" t="s">
        <v>76</v>
      </c>
      <c r="R8" s="98" t="s">
        <v>75</v>
      </c>
      <c r="S8" s="97" t="s">
        <v>74</v>
      </c>
      <c r="U8" s="97" t="s">
        <v>73</v>
      </c>
      <c r="V8" s="54"/>
      <c r="W8" s="97" t="s">
        <v>72</v>
      </c>
    </row>
    <row r="9">
      <c r="D9" s="89" t="s">
        <v>82</v>
      </c>
      <c r="F9" s="99" t="s">
        <v>81</v>
      </c>
      <c r="G9" s="54"/>
      <c r="H9" s="89" t="s">
        <v>80</v>
      </c>
      <c r="K9" s="89" t="s">
        <v>79</v>
      </c>
      <c r="M9" s="100" t="s">
        <v>78</v>
      </c>
      <c r="N9" s="99" t="s">
        <v>77</v>
      </c>
      <c r="O9" s="101"/>
      <c r="P9" s="101"/>
      <c r="Q9" s="102"/>
      <c r="R9" s="102"/>
      <c r="S9" s="101"/>
      <c r="T9" s="101"/>
      <c r="U9" s="101"/>
      <c r="V9" s="102"/>
      <c r="W9" s="101"/>
      <c r="X9" s="101"/>
      <c r="Y9" s="64"/>
    </row>
    <row r="10" ht="19.5" customHeight="1">
      <c r="B10" s="47"/>
      <c r="C10" s="64"/>
      <c r="D10" s="101"/>
      <c r="E10" s="101"/>
      <c r="F10" s="103"/>
      <c r="G10" s="102"/>
      <c r="H10" s="101"/>
      <c r="I10" s="101"/>
      <c r="J10" s="101"/>
      <c r="K10" s="101"/>
      <c r="L10" s="101"/>
      <c r="M10" s="104"/>
      <c r="N10" s="103"/>
      <c r="O10" s="101"/>
      <c r="P10" s="106" t="s">
        <v>222</v>
      </c>
      <c r="R10" s="107" t="s">
        <v>223</v>
      </c>
      <c r="S10" s="106" t="s">
        <v>224</v>
      </c>
      <c r="T10" s="94" t="s">
        <v>194</v>
      </c>
      <c r="U10" s="93" t="s">
        <v>203</v>
      </c>
      <c r="W10" s="93" t="s">
        <v>203</v>
      </c>
      <c r="Y10" s="49" t="s">
        <v>194</v>
      </c>
    </row>
    <row r="11" ht="74.25" customHeight="1">
      <c r="C11" s="49" t="s">
        <v>188</v>
      </c>
      <c r="D11" s="95" t="s">
        <v>225</v>
      </c>
      <c r="E11" s="54"/>
      <c r="F11" s="95" t="s">
        <v>226</v>
      </c>
      <c r="G11" s="54"/>
      <c r="H11" s="95" t="s">
        <v>227</v>
      </c>
      <c r="J11" s="94" t="s">
        <v>188</v>
      </c>
      <c r="K11" s="95" t="s">
        <v>209</v>
      </c>
      <c r="M11" s="108" t="s">
        <v>228</v>
      </c>
      <c r="N11" s="109"/>
      <c r="O11" s="94" t="s">
        <v>188</v>
      </c>
      <c r="R11" s="83"/>
      <c r="U11" s="81"/>
      <c r="W11" s="81"/>
    </row>
    <row r="12">
      <c r="B12" s="47"/>
      <c r="D12" s="89" t="s">
        <v>71</v>
      </c>
      <c r="F12" s="99" t="s">
        <v>70</v>
      </c>
      <c r="G12" s="54"/>
      <c r="H12" s="89" t="s">
        <v>69</v>
      </c>
      <c r="K12" s="89" t="s">
        <v>68</v>
      </c>
      <c r="M12" s="100" t="s">
        <v>67</v>
      </c>
      <c r="N12" s="99" t="s">
        <v>66</v>
      </c>
      <c r="P12" s="97" t="s">
        <v>65</v>
      </c>
      <c r="R12" s="98" t="s">
        <v>64</v>
      </c>
      <c r="S12" s="97" t="s">
        <v>63</v>
      </c>
      <c r="U12" s="97" t="s">
        <v>62</v>
      </c>
      <c r="V12" s="54"/>
      <c r="W12" s="97" t="s">
        <v>61</v>
      </c>
    </row>
    <row r="13" ht="75.75" customHeight="1">
      <c r="B13" s="110" t="s">
        <v>229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11" t="s">
        <v>230</v>
      </c>
    </row>
    <row r="14">
      <c r="C14" s="49" t="s">
        <v>188</v>
      </c>
      <c r="D14" s="89" t="s">
        <v>103</v>
      </c>
      <c r="F14" s="99" t="s">
        <v>102</v>
      </c>
      <c r="G14" s="54"/>
      <c r="H14" s="89" t="s">
        <v>101</v>
      </c>
      <c r="J14" s="94" t="s">
        <v>231</v>
      </c>
      <c r="K14" s="89" t="s">
        <v>100</v>
      </c>
      <c r="M14" s="100" t="s">
        <v>99</v>
      </c>
      <c r="N14" s="89" t="s">
        <v>98</v>
      </c>
      <c r="O14" s="92"/>
      <c r="P14" s="112" t="s">
        <v>97</v>
      </c>
      <c r="Q14" s="71"/>
      <c r="R14" s="113" t="s">
        <v>96</v>
      </c>
      <c r="S14" s="112" t="s">
        <v>95</v>
      </c>
      <c r="T14" s="114" t="s">
        <v>194</v>
      </c>
      <c r="U14" s="115"/>
      <c r="V14" s="115"/>
      <c r="W14" s="115"/>
      <c r="X14" s="115"/>
      <c r="Y14" s="116"/>
    </row>
    <row r="15" ht="72.0" customHeight="1">
      <c r="D15" s="117" t="s">
        <v>227</v>
      </c>
      <c r="E15" s="54"/>
      <c r="F15" s="117" t="s">
        <v>225</v>
      </c>
      <c r="G15" s="54"/>
      <c r="H15" s="58" t="s">
        <v>232</v>
      </c>
      <c r="K15" s="58" t="s">
        <v>233</v>
      </c>
      <c r="M15" s="79" t="s">
        <v>221</v>
      </c>
      <c r="N15" s="106" t="s">
        <v>221</v>
      </c>
      <c r="O15" s="92"/>
      <c r="P15" s="58" t="s">
        <v>234</v>
      </c>
      <c r="Q15" s="54"/>
      <c r="R15" s="58" t="s">
        <v>235</v>
      </c>
      <c r="S15" s="58" t="s">
        <v>236</v>
      </c>
      <c r="U15" s="90"/>
      <c r="V15" s="90"/>
      <c r="W15" s="90"/>
      <c r="X15" s="90"/>
    </row>
    <row r="16">
      <c r="C16" s="64"/>
      <c r="D16" s="101"/>
      <c r="E16" s="101"/>
      <c r="F16" s="103"/>
      <c r="G16" s="102"/>
      <c r="H16" s="101"/>
      <c r="I16" s="101"/>
      <c r="J16" s="101"/>
      <c r="K16" s="101"/>
      <c r="L16" s="101"/>
      <c r="M16" s="104"/>
      <c r="N16" s="101"/>
      <c r="O16" s="101"/>
      <c r="P16" s="81"/>
      <c r="Q16" s="54"/>
      <c r="R16" s="81"/>
      <c r="S16" s="81"/>
      <c r="U16" s="90"/>
      <c r="V16" s="90"/>
      <c r="W16" s="90"/>
      <c r="X16" s="90"/>
    </row>
    <row r="17">
      <c r="C17" s="49" t="s">
        <v>188</v>
      </c>
      <c r="D17" s="89" t="s">
        <v>112</v>
      </c>
      <c r="F17" s="99" t="s">
        <v>111</v>
      </c>
      <c r="G17" s="54"/>
      <c r="H17" s="89" t="s">
        <v>110</v>
      </c>
      <c r="J17" s="94" t="s">
        <v>188</v>
      </c>
      <c r="K17" s="89" t="s">
        <v>109</v>
      </c>
      <c r="M17" s="100" t="s">
        <v>108</v>
      </c>
      <c r="N17" s="89" t="s">
        <v>107</v>
      </c>
      <c r="O17" s="101"/>
      <c r="P17" s="101"/>
      <c r="Q17" s="101"/>
      <c r="R17" s="104"/>
      <c r="S17" s="101"/>
      <c r="T17" s="101"/>
      <c r="U17" s="90"/>
      <c r="V17" s="90"/>
      <c r="W17" s="90"/>
      <c r="X17" s="90"/>
    </row>
    <row r="18">
      <c r="D18" s="106" t="s">
        <v>209</v>
      </c>
      <c r="E18" s="54"/>
      <c r="F18" s="117" t="s">
        <v>237</v>
      </c>
      <c r="G18" s="54"/>
      <c r="H18" s="117" t="s">
        <v>227</v>
      </c>
      <c r="I18" s="54"/>
      <c r="K18" s="58" t="s">
        <v>221</v>
      </c>
      <c r="L18" s="54"/>
      <c r="M18" s="79" t="s">
        <v>221</v>
      </c>
      <c r="N18" s="79" t="s">
        <v>209</v>
      </c>
      <c r="O18" s="94" t="s">
        <v>188</v>
      </c>
      <c r="P18" s="89" t="s">
        <v>106</v>
      </c>
      <c r="R18" s="100" t="s">
        <v>105</v>
      </c>
      <c r="S18" s="89" t="s">
        <v>104</v>
      </c>
      <c r="T18" s="94" t="s">
        <v>188</v>
      </c>
      <c r="U18" s="90"/>
      <c r="V18" s="90"/>
      <c r="W18" s="90"/>
      <c r="X18" s="90"/>
    </row>
    <row r="19" ht="48.0" customHeight="1">
      <c r="E19" s="54"/>
      <c r="G19" s="54"/>
      <c r="I19" s="54"/>
      <c r="K19" s="81"/>
      <c r="L19" s="54"/>
      <c r="M19" s="83"/>
      <c r="N19" s="83"/>
      <c r="P19" s="58" t="s">
        <v>238</v>
      </c>
      <c r="R19" s="58" t="s">
        <v>218</v>
      </c>
      <c r="S19" s="58" t="s">
        <v>232</v>
      </c>
      <c r="U19" s="90"/>
      <c r="V19" s="90"/>
      <c r="W19" s="90"/>
      <c r="X19" s="90"/>
    </row>
    <row r="20">
      <c r="C20" s="64"/>
      <c r="D20" s="101"/>
      <c r="E20" s="101"/>
      <c r="F20" s="103"/>
      <c r="G20" s="102"/>
      <c r="H20" s="101"/>
      <c r="I20" s="101"/>
      <c r="J20" s="101"/>
      <c r="K20" s="101"/>
      <c r="L20" s="101"/>
      <c r="M20" s="104"/>
      <c r="N20" s="101"/>
      <c r="P20" s="81"/>
      <c r="R20" s="81"/>
      <c r="S20" s="81"/>
      <c r="U20" s="90"/>
      <c r="V20" s="90"/>
      <c r="W20" s="90"/>
      <c r="X20" s="90"/>
    </row>
    <row r="21">
      <c r="C21" s="49" t="s">
        <v>210</v>
      </c>
      <c r="D21" s="89" t="s">
        <v>121</v>
      </c>
      <c r="F21" s="99" t="s">
        <v>120</v>
      </c>
      <c r="G21" s="54"/>
      <c r="H21" s="89" t="s">
        <v>119</v>
      </c>
      <c r="J21" s="94" t="s">
        <v>188</v>
      </c>
      <c r="K21" s="89" t="s">
        <v>118</v>
      </c>
      <c r="M21" s="100" t="s">
        <v>117</v>
      </c>
      <c r="N21" s="89" t="s">
        <v>116</v>
      </c>
      <c r="O21" s="101"/>
      <c r="P21" s="101"/>
      <c r="Q21" s="101"/>
      <c r="R21" s="104"/>
      <c r="S21" s="101"/>
      <c r="T21" s="101"/>
      <c r="U21" s="90"/>
      <c r="V21" s="90"/>
      <c r="W21" s="90"/>
      <c r="X21" s="90"/>
    </row>
    <row r="22">
      <c r="D22" s="58" t="s">
        <v>189</v>
      </c>
      <c r="E22" s="54"/>
      <c r="F22" s="117" t="s">
        <v>237</v>
      </c>
      <c r="G22" s="54"/>
      <c r="H22" s="117" t="s">
        <v>227</v>
      </c>
      <c r="I22" s="54"/>
      <c r="K22" s="58" t="s">
        <v>221</v>
      </c>
      <c r="L22" s="54"/>
      <c r="M22" s="58" t="s">
        <v>232</v>
      </c>
      <c r="N22" s="79" t="s">
        <v>221</v>
      </c>
      <c r="O22" s="94" t="s">
        <v>210</v>
      </c>
      <c r="P22" s="89" t="s">
        <v>115</v>
      </c>
      <c r="R22" s="100" t="s">
        <v>114</v>
      </c>
      <c r="S22" s="89" t="s">
        <v>113</v>
      </c>
      <c r="T22" s="94" t="s">
        <v>188</v>
      </c>
      <c r="U22" s="90"/>
      <c r="V22" s="90"/>
      <c r="W22" s="90"/>
      <c r="X22" s="90"/>
    </row>
    <row r="23" ht="60.0" customHeight="1">
      <c r="D23" s="81"/>
      <c r="E23" s="54"/>
      <c r="G23" s="54"/>
      <c r="I23" s="54"/>
      <c r="K23" s="81"/>
      <c r="L23" s="54"/>
      <c r="M23" s="81"/>
      <c r="N23" s="83"/>
      <c r="P23" s="57"/>
      <c r="R23" s="58" t="s">
        <v>232</v>
      </c>
      <c r="S23" s="58" t="s">
        <v>232</v>
      </c>
      <c r="U23" s="90"/>
      <c r="V23" s="90"/>
      <c r="W23" s="90"/>
      <c r="X23" s="90"/>
    </row>
    <row r="24">
      <c r="D24" s="90"/>
      <c r="F24" s="90"/>
      <c r="G24" s="90"/>
      <c r="H24" s="90"/>
      <c r="I24" s="90"/>
      <c r="J24" s="90"/>
      <c r="K24" s="90"/>
      <c r="L24" s="90"/>
      <c r="M24" s="90"/>
      <c r="N24" s="90"/>
      <c r="R24" s="81"/>
      <c r="S24" s="81"/>
      <c r="U24" s="90"/>
      <c r="V24" s="90"/>
      <c r="W24" s="90"/>
      <c r="X24" s="90"/>
    </row>
    <row r="25"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</row>
    <row r="26"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</row>
    <row r="29"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</row>
    <row r="30"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</row>
    <row r="32"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</row>
    <row r="39"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</row>
    <row r="40"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</row>
    <row r="41"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</row>
    <row r="42"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</row>
    <row r="43"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</row>
    <row r="45"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</row>
    <row r="46"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</row>
    <row r="47"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</row>
    <row r="48"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</row>
    <row r="49"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</row>
    <row r="50"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</row>
    <row r="51"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</row>
    <row r="52"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</row>
    <row r="53"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</row>
    <row r="54"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</row>
    <row r="55"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</row>
    <row r="56"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</row>
    <row r="58"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</row>
    <row r="59"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</row>
    <row r="60"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</row>
    <row r="61"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</row>
    <row r="62"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</row>
    <row r="63"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</row>
    <row r="64"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</row>
    <row r="65"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</row>
    <row r="66"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</row>
    <row r="67"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</row>
    <row r="68"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</row>
    <row r="69"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</row>
    <row r="71"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</row>
    <row r="72"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</row>
    <row r="73"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</row>
    <row r="74"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</row>
    <row r="75"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</row>
    <row r="76"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</row>
    <row r="77"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</row>
    <row r="78"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</row>
    <row r="79"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</row>
    <row r="80"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</row>
    <row r="81"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</row>
    <row r="82"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</row>
    <row r="84"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</row>
    <row r="85"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</row>
    <row r="86"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</row>
    <row r="87"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</row>
    <row r="88"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</row>
    <row r="89"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</row>
    <row r="90"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</row>
    <row r="91"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</row>
    <row r="92"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</row>
    <row r="93"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</row>
    <row r="94"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</row>
    <row r="95"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</row>
    <row r="97"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</row>
    <row r="98"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</row>
    <row r="99"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</row>
    <row r="100"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</row>
    <row r="101"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</row>
    <row r="102"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</row>
    <row r="103"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</row>
    <row r="104"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</row>
    <row r="105"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</row>
    <row r="106"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</row>
    <row r="107"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</row>
    <row r="108"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</row>
    <row r="110"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</row>
    <row r="111"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</row>
    <row r="112"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</row>
    <row r="113"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</row>
    <row r="114"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</row>
    <row r="115"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</row>
    <row r="116"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</row>
    <row r="117"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</row>
    <row r="118"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</row>
    <row r="119"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</row>
    <row r="120"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</row>
    <row r="121"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</row>
    <row r="123"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</row>
    <row r="124"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</row>
    <row r="125"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</row>
    <row r="126"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</row>
    <row r="127"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</row>
    <row r="128"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</row>
    <row r="129"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</row>
    <row r="130"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</row>
    <row r="131"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</row>
    <row r="132"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</row>
    <row r="133"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</row>
    <row r="134"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</row>
    <row r="136"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</row>
    <row r="137"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</row>
    <row r="138"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</row>
    <row r="139"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</row>
    <row r="140"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</row>
    <row r="141"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</row>
    <row r="142"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</row>
    <row r="143"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</row>
    <row r="144"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</row>
    <row r="145"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</row>
    <row r="146"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</row>
    <row r="147"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</row>
    <row r="148"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</row>
    <row r="149"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</row>
    <row r="150"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</row>
    <row r="151"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</row>
    <row r="152"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</row>
    <row r="153"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</row>
    <row r="154"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</row>
    <row r="155"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</row>
    <row r="156"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</row>
    <row r="157"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</row>
    <row r="158"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</row>
    <row r="159"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</row>
    <row r="160"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</row>
    <row r="161"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</row>
    <row r="162"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</row>
    <row r="163"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</row>
    <row r="164"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</row>
    <row r="165"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</row>
    <row r="166"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</row>
    <row r="167"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</row>
    <row r="168"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</row>
    <row r="169"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</row>
    <row r="170"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</row>
    <row r="171"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</row>
    <row r="172"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</row>
    <row r="173"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</row>
    <row r="174"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</row>
    <row r="175"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</row>
    <row r="176"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</row>
    <row r="177"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</row>
    <row r="178"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</row>
    <row r="179"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</row>
    <row r="180"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</row>
    <row r="181"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</row>
    <row r="182"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</row>
    <row r="183"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</row>
    <row r="184"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</row>
    <row r="185"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</row>
    <row r="186"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</row>
    <row r="187"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</row>
    <row r="188"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</row>
    <row r="189"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</row>
    <row r="190"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</row>
    <row r="191"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</row>
    <row r="192"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</row>
    <row r="193"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</row>
    <row r="194"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</row>
    <row r="195"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</row>
    <row r="196"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</row>
    <row r="197"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</row>
    <row r="198"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</row>
    <row r="199"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</row>
    <row r="200"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</row>
    <row r="201"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</row>
    <row r="202"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</row>
    <row r="203"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</row>
    <row r="204"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</row>
    <row r="205"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</row>
    <row r="206"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</row>
    <row r="207"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</row>
    <row r="208"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</row>
    <row r="209"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</row>
    <row r="210"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</row>
    <row r="211"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</row>
    <row r="212"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</row>
    <row r="213"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</row>
    <row r="214"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</row>
    <row r="215"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</row>
    <row r="216"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</row>
    <row r="217"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</row>
    <row r="218"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</row>
    <row r="219"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</row>
    <row r="220"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</row>
    <row r="221"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</row>
    <row r="222"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</row>
    <row r="223"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</row>
    <row r="224"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</row>
    <row r="225"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</row>
    <row r="226"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</row>
    <row r="227"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</row>
    <row r="228"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</row>
    <row r="229"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</row>
    <row r="230"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</row>
    <row r="231"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</row>
    <row r="232"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</row>
    <row r="233"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</row>
    <row r="234"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</row>
    <row r="235"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</row>
    <row r="236"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</row>
    <row r="237"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</row>
    <row r="238"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</row>
    <row r="239"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</row>
    <row r="240"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</row>
    <row r="241"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</row>
    <row r="242"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</row>
    <row r="243"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</row>
    <row r="244"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</row>
    <row r="245"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</row>
    <row r="246"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</row>
    <row r="247"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</row>
    <row r="248"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</row>
    <row r="249"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</row>
    <row r="250"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</row>
    <row r="251"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</row>
    <row r="252"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</row>
    <row r="253"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</row>
    <row r="254"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</row>
    <row r="255"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</row>
    <row r="256"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</row>
    <row r="257"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</row>
    <row r="258"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</row>
    <row r="259"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</row>
    <row r="260"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</row>
    <row r="261"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</row>
    <row r="262"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</row>
    <row r="263"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</row>
    <row r="264"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</row>
    <row r="265"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</row>
    <row r="266"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</row>
    <row r="267"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</row>
    <row r="268"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</row>
    <row r="269"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</row>
    <row r="270"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</row>
    <row r="271"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</row>
    <row r="272"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</row>
    <row r="273"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</row>
    <row r="274"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</row>
    <row r="275"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</row>
    <row r="276"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</row>
    <row r="277"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</row>
    <row r="278"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</row>
    <row r="279"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</row>
    <row r="280"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</row>
    <row r="281"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</row>
    <row r="282"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</row>
    <row r="283"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</row>
    <row r="284"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</row>
    <row r="285"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</row>
    <row r="286"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</row>
    <row r="287"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</row>
    <row r="288"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</row>
    <row r="289"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</row>
    <row r="290"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</row>
    <row r="291"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</row>
    <row r="292"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</row>
    <row r="293"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</row>
    <row r="294"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</row>
    <row r="295"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</row>
    <row r="296"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</row>
    <row r="297"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</row>
    <row r="298"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</row>
    <row r="299"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</row>
    <row r="300"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</row>
    <row r="301"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</row>
    <row r="302"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</row>
    <row r="303"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</row>
    <row r="304"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</row>
    <row r="305"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</row>
    <row r="306"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</row>
    <row r="307"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</row>
    <row r="308"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</row>
    <row r="309"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</row>
    <row r="310"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</row>
    <row r="311"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</row>
    <row r="312"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</row>
    <row r="313"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</row>
    <row r="314"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</row>
    <row r="315"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</row>
    <row r="316"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</row>
    <row r="317"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</row>
    <row r="318"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</row>
    <row r="319"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</row>
    <row r="320"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</row>
    <row r="321"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</row>
    <row r="322"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</row>
    <row r="323"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</row>
    <row r="324"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</row>
    <row r="325"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</row>
    <row r="326"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</row>
    <row r="327"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</row>
    <row r="328"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</row>
    <row r="329"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</row>
    <row r="330"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</row>
    <row r="331"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</row>
    <row r="332"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</row>
    <row r="333"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</row>
    <row r="334"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</row>
    <row r="335"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</row>
    <row r="336"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</row>
    <row r="337"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</row>
    <row r="338"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</row>
    <row r="339"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</row>
    <row r="340"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</row>
    <row r="341"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</row>
    <row r="342"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</row>
    <row r="343"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</row>
    <row r="344"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</row>
    <row r="345"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</row>
    <row r="346"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</row>
    <row r="347"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</row>
    <row r="348"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</row>
    <row r="349"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</row>
    <row r="350"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</row>
    <row r="351"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</row>
    <row r="352"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</row>
    <row r="353"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</row>
    <row r="354"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</row>
    <row r="355"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</row>
    <row r="356"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</row>
    <row r="357"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</row>
    <row r="358"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</row>
    <row r="359"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</row>
    <row r="360"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</row>
    <row r="361"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</row>
    <row r="362"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</row>
    <row r="363"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</row>
    <row r="364"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</row>
    <row r="365"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</row>
    <row r="366"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</row>
    <row r="367"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</row>
    <row r="368"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</row>
    <row r="369"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</row>
    <row r="370"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</row>
    <row r="371"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</row>
    <row r="372"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</row>
    <row r="373"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</row>
    <row r="374"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</row>
    <row r="375"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</row>
    <row r="376"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</row>
    <row r="377"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</row>
    <row r="378"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</row>
    <row r="379"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</row>
    <row r="380"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</row>
    <row r="381"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</row>
    <row r="382"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</row>
    <row r="383"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</row>
    <row r="384"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</row>
    <row r="385"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</row>
    <row r="386"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</row>
    <row r="387"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</row>
    <row r="388"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</row>
    <row r="389"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</row>
    <row r="390"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</row>
    <row r="391"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</row>
    <row r="392"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</row>
    <row r="393"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</row>
    <row r="394"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</row>
    <row r="395"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</row>
    <row r="396"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</row>
    <row r="397"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</row>
    <row r="398"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</row>
    <row r="399"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</row>
    <row r="400"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</row>
    <row r="401"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</row>
    <row r="402"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</row>
    <row r="403"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</row>
    <row r="404"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</row>
    <row r="405"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</row>
    <row r="406"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</row>
    <row r="407"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</row>
    <row r="408"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</row>
    <row r="409"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</row>
    <row r="410"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</row>
    <row r="411"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</row>
    <row r="412"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</row>
    <row r="413"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</row>
    <row r="414"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</row>
    <row r="415"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</row>
    <row r="416"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</row>
    <row r="417"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</row>
    <row r="418"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</row>
    <row r="419"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</row>
    <row r="420"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</row>
    <row r="421"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</row>
    <row r="422"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</row>
    <row r="423"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</row>
    <row r="424"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</row>
    <row r="425"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</row>
    <row r="426"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</row>
    <row r="427"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</row>
    <row r="428"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</row>
    <row r="429"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</row>
    <row r="430"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</row>
    <row r="431"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</row>
    <row r="432"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</row>
    <row r="433"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</row>
    <row r="434"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</row>
    <row r="435"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</row>
    <row r="436"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</row>
    <row r="437"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</row>
    <row r="438"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</row>
    <row r="439"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</row>
    <row r="440"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</row>
    <row r="441"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</row>
    <row r="442"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</row>
    <row r="443"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</row>
    <row r="444"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</row>
    <row r="445"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</row>
    <row r="446"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</row>
    <row r="447"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</row>
    <row r="448"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</row>
    <row r="449"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</row>
    <row r="450"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</row>
    <row r="451"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</row>
    <row r="452"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</row>
    <row r="453"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</row>
    <row r="454"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</row>
    <row r="455"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</row>
    <row r="456"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</row>
    <row r="457"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</row>
    <row r="458"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</row>
    <row r="459"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</row>
    <row r="460"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</row>
    <row r="461"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</row>
    <row r="462"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</row>
    <row r="463"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</row>
    <row r="464"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</row>
    <row r="465"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</row>
    <row r="466"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</row>
    <row r="467"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</row>
    <row r="468"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</row>
    <row r="469"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</row>
    <row r="470"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</row>
    <row r="471"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</row>
    <row r="472"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</row>
    <row r="473"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</row>
    <row r="474"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</row>
    <row r="475"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</row>
    <row r="476"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</row>
    <row r="477"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</row>
    <row r="478"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</row>
    <row r="479"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</row>
    <row r="480"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</row>
    <row r="481"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</row>
    <row r="482"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</row>
    <row r="483"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</row>
    <row r="484"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</row>
    <row r="485"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</row>
    <row r="486"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</row>
    <row r="487"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</row>
    <row r="488"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</row>
    <row r="489"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</row>
    <row r="490"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</row>
    <row r="491"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</row>
    <row r="492"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</row>
    <row r="493"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</row>
    <row r="494"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</row>
    <row r="495"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</row>
    <row r="496"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</row>
    <row r="497"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</row>
    <row r="498"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</row>
    <row r="499"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</row>
    <row r="500"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</row>
    <row r="501"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</row>
    <row r="502"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</row>
    <row r="503"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</row>
    <row r="504"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</row>
    <row r="505"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</row>
    <row r="506"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</row>
    <row r="507"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</row>
    <row r="508"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</row>
    <row r="509"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</row>
    <row r="510"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</row>
    <row r="511"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</row>
    <row r="512"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</row>
    <row r="513"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</row>
    <row r="514"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</row>
    <row r="515"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</row>
    <row r="516"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</row>
    <row r="517"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</row>
    <row r="518"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</row>
    <row r="519"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</row>
    <row r="520"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</row>
    <row r="521"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</row>
    <row r="522"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</row>
    <row r="523"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</row>
    <row r="524"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</row>
    <row r="525"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</row>
    <row r="526"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</row>
    <row r="527"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</row>
    <row r="528"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</row>
    <row r="529"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</row>
    <row r="530"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</row>
    <row r="531"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</row>
    <row r="532"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</row>
    <row r="533"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</row>
    <row r="534"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</row>
    <row r="535"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</row>
    <row r="536"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</row>
    <row r="537"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</row>
    <row r="538"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</row>
    <row r="539"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</row>
    <row r="540"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</row>
    <row r="541"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</row>
    <row r="542"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</row>
    <row r="543"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</row>
    <row r="544"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</row>
    <row r="545"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</row>
    <row r="546"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</row>
    <row r="547"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</row>
    <row r="548"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</row>
    <row r="549"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</row>
    <row r="550"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</row>
    <row r="551"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</row>
    <row r="552"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</row>
    <row r="553"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</row>
    <row r="554"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</row>
    <row r="555"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</row>
    <row r="556"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</row>
    <row r="557"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</row>
    <row r="558"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</row>
    <row r="559"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</row>
    <row r="560"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</row>
    <row r="561"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</row>
    <row r="562"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</row>
    <row r="563"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</row>
    <row r="564"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</row>
    <row r="565"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</row>
    <row r="566"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</row>
    <row r="567"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</row>
    <row r="568"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</row>
    <row r="569"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</row>
    <row r="570"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</row>
    <row r="571"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</row>
    <row r="572"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</row>
    <row r="573"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</row>
    <row r="574"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</row>
    <row r="575"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</row>
    <row r="576"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</row>
    <row r="577"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</row>
    <row r="578"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</row>
    <row r="579"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</row>
    <row r="580"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</row>
    <row r="581"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</row>
    <row r="582"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</row>
    <row r="583"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</row>
    <row r="584"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</row>
    <row r="585"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</row>
    <row r="586"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</row>
    <row r="587"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</row>
    <row r="588"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</row>
    <row r="589"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</row>
    <row r="590"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</row>
    <row r="591"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</row>
    <row r="592"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</row>
    <row r="593"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</row>
    <row r="594"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</row>
    <row r="595"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</row>
    <row r="596"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</row>
    <row r="597"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</row>
    <row r="598"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</row>
    <row r="599"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</row>
    <row r="600"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</row>
    <row r="601"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</row>
    <row r="602"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</row>
    <row r="603"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</row>
    <row r="604"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</row>
    <row r="605"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</row>
    <row r="606"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</row>
    <row r="607"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</row>
    <row r="608"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</row>
    <row r="609"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</row>
    <row r="610"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</row>
    <row r="611"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</row>
    <row r="612"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</row>
    <row r="613"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</row>
    <row r="614"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</row>
    <row r="615"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</row>
    <row r="616"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</row>
    <row r="617"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</row>
    <row r="618"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</row>
    <row r="619"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</row>
    <row r="620"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</row>
    <row r="621"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</row>
    <row r="622"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</row>
    <row r="623"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</row>
    <row r="624"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</row>
    <row r="625"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</row>
    <row r="626"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</row>
    <row r="627"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</row>
    <row r="628"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</row>
    <row r="629"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</row>
    <row r="630"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</row>
    <row r="631"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</row>
    <row r="632"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</row>
    <row r="633"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</row>
    <row r="634"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</row>
    <row r="635"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</row>
    <row r="636"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</row>
    <row r="637"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</row>
    <row r="638"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</row>
    <row r="639"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</row>
    <row r="640"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</row>
    <row r="641"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</row>
    <row r="642"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</row>
    <row r="643"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</row>
    <row r="644"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</row>
    <row r="645"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</row>
    <row r="646"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</row>
    <row r="647"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</row>
    <row r="648"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</row>
    <row r="649"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</row>
    <row r="650"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</row>
    <row r="651"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</row>
    <row r="652"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</row>
    <row r="653"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</row>
    <row r="654"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</row>
    <row r="655"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</row>
    <row r="656"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</row>
    <row r="657"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</row>
    <row r="658"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</row>
    <row r="659"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</row>
    <row r="660"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</row>
    <row r="661"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</row>
    <row r="662"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</row>
    <row r="663"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</row>
    <row r="664"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</row>
    <row r="665"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</row>
    <row r="666"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</row>
    <row r="667"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</row>
    <row r="668"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</row>
    <row r="669"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</row>
    <row r="670"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</row>
    <row r="671"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</row>
    <row r="672"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</row>
    <row r="673"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</row>
    <row r="674"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</row>
    <row r="675"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</row>
    <row r="676"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</row>
    <row r="677"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</row>
    <row r="678"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</row>
    <row r="679"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</row>
    <row r="680"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</row>
    <row r="681"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</row>
    <row r="682"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</row>
    <row r="683"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</row>
    <row r="684"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</row>
    <row r="685"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</row>
    <row r="686"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</row>
    <row r="687"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</row>
    <row r="688"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</row>
    <row r="689"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</row>
    <row r="690"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</row>
    <row r="691"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</row>
    <row r="692"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</row>
    <row r="693"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</row>
    <row r="694"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</row>
    <row r="695"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</row>
    <row r="696"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</row>
    <row r="697"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</row>
    <row r="698"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</row>
    <row r="699"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</row>
    <row r="700"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</row>
    <row r="701"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</row>
    <row r="702"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</row>
    <row r="703"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</row>
    <row r="704"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</row>
    <row r="705"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</row>
    <row r="706"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</row>
    <row r="707"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</row>
    <row r="708"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</row>
    <row r="709"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</row>
    <row r="710"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</row>
    <row r="711"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</row>
    <row r="712"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</row>
    <row r="713"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</row>
    <row r="714"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</row>
    <row r="715"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</row>
    <row r="716"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</row>
    <row r="717"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</row>
    <row r="718"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</row>
    <row r="719"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</row>
    <row r="720"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</row>
    <row r="721"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</row>
    <row r="722"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</row>
    <row r="723"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</row>
    <row r="724"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</row>
    <row r="725"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</row>
    <row r="726"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</row>
    <row r="727"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</row>
    <row r="728"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</row>
    <row r="729"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</row>
    <row r="730"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</row>
    <row r="731"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</row>
    <row r="732"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</row>
    <row r="733"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</row>
    <row r="734"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</row>
    <row r="735"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</row>
    <row r="736"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</row>
    <row r="737"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</row>
    <row r="738"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</row>
    <row r="739"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</row>
    <row r="740"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</row>
    <row r="741"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</row>
    <row r="742"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</row>
    <row r="743"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</row>
    <row r="744"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</row>
    <row r="745"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</row>
    <row r="746"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</row>
    <row r="747"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</row>
    <row r="748"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</row>
    <row r="749"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</row>
    <row r="750"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</row>
    <row r="751"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</row>
    <row r="752"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</row>
    <row r="753"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</row>
    <row r="754"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</row>
    <row r="755"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</row>
    <row r="756"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</row>
    <row r="757"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</row>
    <row r="758"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</row>
    <row r="759"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</row>
    <row r="760"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</row>
    <row r="761"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</row>
    <row r="762"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</row>
    <row r="763"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</row>
    <row r="764"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</row>
    <row r="765"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</row>
    <row r="766"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</row>
    <row r="767"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</row>
    <row r="768"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</row>
    <row r="769"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</row>
    <row r="770"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</row>
    <row r="771"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</row>
    <row r="772"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</row>
    <row r="773"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</row>
    <row r="774"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</row>
    <row r="775"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</row>
    <row r="776"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</row>
    <row r="777"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</row>
    <row r="778"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</row>
    <row r="779"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</row>
    <row r="780"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</row>
    <row r="781"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</row>
    <row r="782"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</row>
    <row r="783"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</row>
    <row r="784"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</row>
    <row r="785"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</row>
    <row r="786"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</row>
    <row r="787"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</row>
    <row r="788"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</row>
    <row r="789"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</row>
    <row r="790"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</row>
    <row r="791"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</row>
    <row r="792"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</row>
    <row r="793"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</row>
    <row r="794"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</row>
    <row r="795"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</row>
    <row r="796"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</row>
    <row r="797"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</row>
    <row r="798"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</row>
    <row r="799"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</row>
    <row r="800"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</row>
    <row r="801"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</row>
    <row r="802"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</row>
    <row r="803"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</row>
    <row r="804"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</row>
    <row r="805"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</row>
    <row r="806"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</row>
    <row r="807"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</row>
    <row r="808"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</row>
    <row r="809"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</row>
    <row r="810"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</row>
    <row r="811"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</row>
    <row r="812"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</row>
    <row r="813"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</row>
    <row r="814"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</row>
    <row r="815"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</row>
    <row r="816"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</row>
    <row r="817"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</row>
    <row r="818"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</row>
    <row r="819"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</row>
    <row r="820"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</row>
    <row r="821"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</row>
    <row r="822"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</row>
    <row r="823"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</row>
    <row r="824"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</row>
    <row r="825"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</row>
    <row r="826"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</row>
    <row r="827"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</row>
    <row r="828"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</row>
    <row r="829"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</row>
    <row r="830"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</row>
    <row r="831"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</row>
    <row r="832"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</row>
    <row r="833"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</row>
    <row r="834"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</row>
    <row r="835"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</row>
    <row r="836"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</row>
    <row r="837"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</row>
    <row r="838"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</row>
    <row r="839"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</row>
    <row r="840"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</row>
    <row r="841"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</row>
    <row r="842"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</row>
    <row r="843"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</row>
    <row r="844"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</row>
    <row r="845"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</row>
    <row r="846"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</row>
    <row r="847"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</row>
    <row r="848"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</row>
    <row r="849"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</row>
    <row r="850"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</row>
    <row r="851"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</row>
    <row r="852"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</row>
    <row r="853"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</row>
    <row r="854"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</row>
    <row r="855"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</row>
    <row r="856"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</row>
    <row r="857"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</row>
    <row r="858"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</row>
    <row r="859"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</row>
    <row r="860"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</row>
    <row r="861"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</row>
    <row r="862"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</row>
    <row r="863"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</row>
    <row r="864"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</row>
    <row r="865"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</row>
    <row r="866"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</row>
    <row r="867"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</row>
    <row r="868"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</row>
    <row r="869"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</row>
    <row r="870"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</row>
    <row r="871"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</row>
    <row r="872"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</row>
    <row r="873"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</row>
    <row r="874"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</row>
    <row r="875"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</row>
    <row r="876"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</row>
    <row r="877"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</row>
    <row r="878"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</row>
    <row r="879"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</row>
    <row r="880"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</row>
    <row r="881"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</row>
    <row r="882"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</row>
    <row r="883"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</row>
    <row r="884"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</row>
    <row r="885"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</row>
    <row r="886"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</row>
    <row r="887"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</row>
    <row r="888"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</row>
    <row r="889"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</row>
    <row r="890"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</row>
    <row r="891"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</row>
    <row r="892"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</row>
    <row r="893"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</row>
    <row r="894"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</row>
    <row r="895"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</row>
    <row r="896"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</row>
    <row r="897"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</row>
    <row r="898"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</row>
    <row r="899"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</row>
    <row r="900"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</row>
    <row r="901"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</row>
    <row r="902"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</row>
    <row r="903"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</row>
    <row r="904"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</row>
    <row r="905"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</row>
    <row r="906"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</row>
    <row r="907"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</row>
    <row r="908"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</row>
    <row r="909"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</row>
    <row r="910"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</row>
    <row r="911"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</row>
    <row r="912"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</row>
    <row r="913"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</row>
    <row r="914"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</row>
    <row r="915"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</row>
    <row r="916"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</row>
    <row r="917"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</row>
    <row r="918"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</row>
    <row r="919"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</row>
    <row r="920"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</row>
    <row r="921"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</row>
    <row r="922"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</row>
    <row r="923"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</row>
    <row r="924"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</row>
    <row r="925"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</row>
    <row r="926"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</row>
    <row r="927"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</row>
    <row r="928"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</row>
    <row r="929"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</row>
    <row r="930"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</row>
    <row r="931"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</row>
    <row r="932"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</row>
    <row r="933"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</row>
    <row r="934"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</row>
    <row r="935"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</row>
    <row r="936"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</row>
    <row r="937"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</row>
    <row r="938"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</row>
    <row r="939"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</row>
    <row r="940"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</row>
    <row r="941"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</row>
    <row r="942"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</row>
    <row r="943"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</row>
    <row r="944"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</row>
    <row r="945"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</row>
    <row r="946"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</row>
    <row r="947"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</row>
    <row r="948"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</row>
    <row r="949"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</row>
    <row r="950"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</row>
    <row r="951"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</row>
    <row r="952"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</row>
    <row r="953"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</row>
    <row r="954"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</row>
    <row r="955"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</row>
    <row r="956"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</row>
    <row r="957"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</row>
    <row r="958"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</row>
    <row r="959"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</row>
    <row r="960"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</row>
    <row r="961"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</row>
    <row r="962"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</row>
    <row r="963"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</row>
    <row r="964"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</row>
    <row r="965"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</row>
    <row r="966"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</row>
    <row r="967"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</row>
    <row r="968"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</row>
    <row r="969"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</row>
    <row r="970"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</row>
    <row r="971"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</row>
    <row r="972"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</row>
    <row r="973"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</row>
    <row r="974"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</row>
    <row r="975"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</row>
    <row r="976"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</row>
    <row r="977"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</row>
    <row r="978"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</row>
    <row r="979"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</row>
    <row r="980"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</row>
    <row r="981"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</row>
    <row r="982"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</row>
    <row r="983"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</row>
    <row r="984"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</row>
    <row r="985"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</row>
    <row r="986"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</row>
    <row r="987"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</row>
    <row r="988"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</row>
    <row r="989"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</row>
    <row r="990"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</row>
  </sheetData>
  <mergeCells count="127">
    <mergeCell ref="T2:T4"/>
    <mergeCell ref="U2:V3"/>
    <mergeCell ref="W2:X3"/>
    <mergeCell ref="Y2:Y4"/>
    <mergeCell ref="U4:V4"/>
    <mergeCell ref="W4:X4"/>
    <mergeCell ref="D2:E2"/>
    <mergeCell ref="D3:E4"/>
    <mergeCell ref="K2:L2"/>
    <mergeCell ref="K3:L4"/>
    <mergeCell ref="M3:M4"/>
    <mergeCell ref="N3:N4"/>
    <mergeCell ref="P2:Q3"/>
    <mergeCell ref="P4:Q4"/>
    <mergeCell ref="D5:E5"/>
    <mergeCell ref="F5:G5"/>
    <mergeCell ref="H5:I5"/>
    <mergeCell ref="K5:L5"/>
    <mergeCell ref="R10:R11"/>
    <mergeCell ref="S10:S11"/>
    <mergeCell ref="T10:T12"/>
    <mergeCell ref="U10:V11"/>
    <mergeCell ref="W10:X11"/>
    <mergeCell ref="Y10:Y12"/>
    <mergeCell ref="U12:V12"/>
    <mergeCell ref="T14:T16"/>
    <mergeCell ref="T18:T20"/>
    <mergeCell ref="T22:T24"/>
    <mergeCell ref="P19:Q20"/>
    <mergeCell ref="R19:R20"/>
    <mergeCell ref="S19:S20"/>
    <mergeCell ref="P22:Q22"/>
    <mergeCell ref="P23:Q24"/>
    <mergeCell ref="R23:R24"/>
    <mergeCell ref="S23:S24"/>
    <mergeCell ref="P10:Q11"/>
    <mergeCell ref="P12:Q12"/>
    <mergeCell ref="P14:Q14"/>
    <mergeCell ref="P15:Q16"/>
    <mergeCell ref="R15:R16"/>
    <mergeCell ref="S15:S16"/>
    <mergeCell ref="P18:Q18"/>
    <mergeCell ref="F2:G2"/>
    <mergeCell ref="H2:I2"/>
    <mergeCell ref="R2:R3"/>
    <mergeCell ref="S2:S3"/>
    <mergeCell ref="C3:C5"/>
    <mergeCell ref="J3:J5"/>
    <mergeCell ref="O3:O4"/>
    <mergeCell ref="U6:V7"/>
    <mergeCell ref="U8:V8"/>
    <mergeCell ref="P6:Q7"/>
    <mergeCell ref="R6:R7"/>
    <mergeCell ref="S6:S7"/>
    <mergeCell ref="T6:T8"/>
    <mergeCell ref="W6:X7"/>
    <mergeCell ref="Y6:Y8"/>
    <mergeCell ref="P8:Q8"/>
    <mergeCell ref="W8:X8"/>
    <mergeCell ref="F3:G4"/>
    <mergeCell ref="H3:I4"/>
    <mergeCell ref="B6:B7"/>
    <mergeCell ref="C7:C9"/>
    <mergeCell ref="D7:E8"/>
    <mergeCell ref="F7:G8"/>
    <mergeCell ref="H7:I8"/>
    <mergeCell ref="H9:I9"/>
    <mergeCell ref="O7:O8"/>
    <mergeCell ref="O11:O12"/>
    <mergeCell ref="J7:J9"/>
    <mergeCell ref="K7:L8"/>
    <mergeCell ref="M7:M8"/>
    <mergeCell ref="N7:N8"/>
    <mergeCell ref="K9:L9"/>
    <mergeCell ref="K11:L11"/>
    <mergeCell ref="K12:L12"/>
    <mergeCell ref="W12:X12"/>
    <mergeCell ref="B13:Y13"/>
    <mergeCell ref="K21:L21"/>
    <mergeCell ref="K22:L23"/>
    <mergeCell ref="M22:M23"/>
    <mergeCell ref="N22:N23"/>
    <mergeCell ref="O22:O24"/>
    <mergeCell ref="K14:L14"/>
    <mergeCell ref="K15:L15"/>
    <mergeCell ref="K17:L17"/>
    <mergeCell ref="K18:L19"/>
    <mergeCell ref="M18:M19"/>
    <mergeCell ref="N18:N19"/>
    <mergeCell ref="O18:O20"/>
    <mergeCell ref="D9:E9"/>
    <mergeCell ref="F9:G9"/>
    <mergeCell ref="B10:B11"/>
    <mergeCell ref="C11:C12"/>
    <mergeCell ref="F11:G11"/>
    <mergeCell ref="H11:I11"/>
    <mergeCell ref="J11:J12"/>
    <mergeCell ref="F12:G12"/>
    <mergeCell ref="H12:I12"/>
    <mergeCell ref="F14:G14"/>
    <mergeCell ref="H14:I14"/>
    <mergeCell ref="J14:J15"/>
    <mergeCell ref="F15:G15"/>
    <mergeCell ref="H15:I15"/>
    <mergeCell ref="C17:C19"/>
    <mergeCell ref="B19:B20"/>
    <mergeCell ref="C21:C23"/>
    <mergeCell ref="D21:E21"/>
    <mergeCell ref="D22:E23"/>
    <mergeCell ref="D24:E24"/>
    <mergeCell ref="D11:E11"/>
    <mergeCell ref="D12:E12"/>
    <mergeCell ref="C14:C15"/>
    <mergeCell ref="D14:E14"/>
    <mergeCell ref="D15:E15"/>
    <mergeCell ref="D17:E17"/>
    <mergeCell ref="D18:E19"/>
    <mergeCell ref="F21:G21"/>
    <mergeCell ref="F22:G23"/>
    <mergeCell ref="F17:G17"/>
    <mergeCell ref="H17:I17"/>
    <mergeCell ref="J17:J19"/>
    <mergeCell ref="F18:G19"/>
    <mergeCell ref="H18:I19"/>
    <mergeCell ref="H21:I21"/>
    <mergeCell ref="J21:J23"/>
    <mergeCell ref="H22:I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38"/>
    <col customWidth="1" min="3" max="3" width="3.25"/>
    <col customWidth="1" min="4" max="4" width="6.63"/>
    <col customWidth="1" min="5" max="5" width="7.0"/>
    <col customWidth="1" min="6" max="6" width="9.38"/>
    <col customWidth="1" min="7" max="7" width="4.13"/>
    <col customWidth="1" min="8" max="8" width="8.63"/>
    <col customWidth="1" min="9" max="9" width="5.25"/>
    <col customWidth="1" min="10" max="10" width="3.25"/>
    <col customWidth="1" min="11" max="11" width="5.38"/>
    <col customWidth="1" min="12" max="12" width="7.75"/>
    <col customWidth="1" min="14" max="14" width="11.75"/>
    <col customWidth="1" min="15" max="15" width="3.5"/>
    <col customWidth="1" min="16" max="16" width="8.13"/>
    <col customWidth="1" min="17" max="17" width="4.63"/>
    <col customWidth="1" min="20" max="20" width="3.75"/>
    <col customWidth="1" min="21" max="21" width="14.38"/>
  </cols>
  <sheetData>
    <row r="1">
      <c r="B1" s="88"/>
      <c r="C1" s="90"/>
      <c r="D1" s="89"/>
      <c r="E1" s="89"/>
      <c r="F1" s="89"/>
      <c r="G1" s="89"/>
      <c r="H1" s="89"/>
      <c r="I1" s="89"/>
      <c r="J1" s="90"/>
      <c r="K1" s="89"/>
      <c r="L1" s="89"/>
      <c r="M1" s="89"/>
      <c r="N1" s="90"/>
      <c r="O1" s="90"/>
      <c r="P1" s="90"/>
      <c r="Q1" s="90"/>
      <c r="R1" s="90"/>
      <c r="S1" s="90"/>
      <c r="U1" s="88"/>
    </row>
    <row r="2">
      <c r="B2" s="88"/>
      <c r="C2" s="90"/>
      <c r="D2" s="89"/>
      <c r="F2" s="89"/>
      <c r="H2" s="89"/>
      <c r="J2" s="90"/>
      <c r="K2" s="89"/>
      <c r="M2" s="89"/>
      <c r="N2" s="90"/>
      <c r="O2" s="90"/>
      <c r="P2" s="90"/>
      <c r="Q2" s="90"/>
      <c r="R2" s="90"/>
      <c r="S2" s="90"/>
      <c r="U2" s="88"/>
    </row>
    <row r="3" ht="86.25" customHeight="1">
      <c r="B3" s="118"/>
      <c r="C3" s="94" t="s">
        <v>210</v>
      </c>
      <c r="D3" s="57" t="s">
        <v>189</v>
      </c>
      <c r="F3" s="119" t="s">
        <v>239</v>
      </c>
      <c r="G3" s="54"/>
      <c r="H3" s="117" t="s">
        <v>240</v>
      </c>
      <c r="J3" s="94" t="s">
        <v>188</v>
      </c>
      <c r="K3" s="119" t="s">
        <v>241</v>
      </c>
      <c r="L3" s="54"/>
      <c r="M3" s="120" t="s">
        <v>242</v>
      </c>
      <c r="N3" s="117" t="s">
        <v>243</v>
      </c>
      <c r="O3" s="94" t="s">
        <v>210</v>
      </c>
      <c r="P3" s="121" t="s">
        <v>244</v>
      </c>
      <c r="Q3" s="54"/>
      <c r="R3" s="122"/>
      <c r="S3" s="57"/>
      <c r="T3" s="49" t="s">
        <v>188</v>
      </c>
      <c r="U3" s="118" t="s">
        <v>245</v>
      </c>
    </row>
    <row r="4">
      <c r="F4" s="81"/>
      <c r="G4" s="54"/>
      <c r="K4" s="81"/>
      <c r="L4" s="54"/>
      <c r="M4" s="54"/>
      <c r="Q4" s="54"/>
      <c r="R4" s="83"/>
    </row>
    <row r="5" ht="19.5" customHeight="1">
      <c r="D5" s="89" t="s">
        <v>142</v>
      </c>
      <c r="F5" s="99" t="s">
        <v>143</v>
      </c>
      <c r="G5" s="54"/>
      <c r="H5" s="89" t="s">
        <v>144</v>
      </c>
      <c r="K5" s="89" t="s">
        <v>145</v>
      </c>
      <c r="M5" s="100" t="s">
        <v>146</v>
      </c>
      <c r="N5" s="99" t="s">
        <v>147</v>
      </c>
      <c r="P5" s="89" t="s">
        <v>148</v>
      </c>
      <c r="R5" s="100" t="s">
        <v>149</v>
      </c>
      <c r="S5" s="99" t="s">
        <v>150</v>
      </c>
    </row>
    <row r="6" ht="19.5" customHeight="1">
      <c r="C6" s="101"/>
      <c r="D6" s="101"/>
      <c r="E6" s="101"/>
      <c r="F6" s="103"/>
      <c r="G6" s="102"/>
      <c r="H6" s="101"/>
      <c r="I6" s="101"/>
      <c r="J6" s="101"/>
      <c r="K6" s="101"/>
      <c r="L6" s="101"/>
      <c r="M6" s="104"/>
      <c r="N6" s="103"/>
      <c r="O6" s="101"/>
      <c r="P6" s="101"/>
      <c r="Q6" s="101"/>
      <c r="R6" s="104"/>
      <c r="S6" s="103"/>
      <c r="T6" s="64"/>
    </row>
    <row r="7" ht="72.75" customHeight="1">
      <c r="C7" s="94" t="s">
        <v>188</v>
      </c>
      <c r="D7" s="123" t="s">
        <v>209</v>
      </c>
      <c r="F7" s="124" t="s">
        <v>246</v>
      </c>
      <c r="G7" s="54"/>
      <c r="H7" s="117"/>
      <c r="J7" s="94" t="s">
        <v>188</v>
      </c>
      <c r="K7" s="119" t="s">
        <v>247</v>
      </c>
      <c r="L7" s="54"/>
      <c r="M7" s="125" t="s">
        <v>209</v>
      </c>
      <c r="N7" s="125" t="s">
        <v>248</v>
      </c>
      <c r="O7" s="94" t="s">
        <v>188</v>
      </c>
      <c r="P7" s="121" t="s">
        <v>249</v>
      </c>
      <c r="Q7" s="54"/>
      <c r="R7" s="120" t="s">
        <v>250</v>
      </c>
      <c r="S7" s="121" t="s">
        <v>250</v>
      </c>
      <c r="T7" s="49" t="s">
        <v>188</v>
      </c>
    </row>
    <row r="8">
      <c r="F8" s="81"/>
      <c r="G8" s="54"/>
      <c r="K8" s="81"/>
      <c r="L8" s="54"/>
      <c r="M8" s="83"/>
      <c r="N8" s="83"/>
      <c r="Q8" s="54"/>
      <c r="R8" s="54"/>
    </row>
    <row r="9">
      <c r="D9" s="89" t="s">
        <v>133</v>
      </c>
      <c r="F9" s="99" t="s">
        <v>134</v>
      </c>
      <c r="G9" s="54"/>
      <c r="H9" s="89" t="s">
        <v>135</v>
      </c>
      <c r="K9" s="89" t="s">
        <v>136</v>
      </c>
      <c r="M9" s="100" t="s">
        <v>137</v>
      </c>
      <c r="N9" s="99" t="s">
        <v>138</v>
      </c>
      <c r="P9" s="89" t="s">
        <v>139</v>
      </c>
      <c r="R9" s="100" t="s">
        <v>140</v>
      </c>
      <c r="S9" s="99" t="s">
        <v>141</v>
      </c>
    </row>
    <row r="10" ht="19.5" customHeight="1">
      <c r="C10" s="101"/>
      <c r="D10" s="101"/>
      <c r="E10" s="101"/>
      <c r="F10" s="103"/>
      <c r="G10" s="102"/>
      <c r="H10" s="101"/>
      <c r="I10" s="101"/>
      <c r="J10" s="101"/>
      <c r="K10" s="101"/>
      <c r="L10" s="101"/>
      <c r="M10" s="104"/>
      <c r="N10" s="103"/>
      <c r="O10" s="101"/>
      <c r="P10" s="101"/>
      <c r="Q10" s="101"/>
      <c r="R10" s="104"/>
      <c r="S10" s="103"/>
      <c r="T10" s="64"/>
    </row>
    <row r="11" ht="74.25" customHeight="1">
      <c r="C11" s="94" t="s">
        <v>188</v>
      </c>
      <c r="D11" s="117" t="s">
        <v>251</v>
      </c>
      <c r="E11" s="54"/>
      <c r="F11" s="57" t="s">
        <v>252</v>
      </c>
      <c r="G11" s="54"/>
      <c r="H11" s="57" t="s">
        <v>253</v>
      </c>
      <c r="I11" s="54"/>
      <c r="J11" s="94" t="s">
        <v>188</v>
      </c>
      <c r="K11" s="57" t="s">
        <v>254</v>
      </c>
      <c r="L11" s="54"/>
      <c r="M11" s="125" t="s">
        <v>255</v>
      </c>
      <c r="N11" s="119" t="s">
        <v>253</v>
      </c>
      <c r="O11" s="94" t="s">
        <v>188</v>
      </c>
      <c r="P11" s="119" t="s">
        <v>256</v>
      </c>
      <c r="R11" s="58" t="s">
        <v>257</v>
      </c>
      <c r="S11" s="58" t="s">
        <v>257</v>
      </c>
      <c r="T11" s="49" t="s">
        <v>194</v>
      </c>
    </row>
    <row r="12">
      <c r="D12" s="89" t="s">
        <v>124</v>
      </c>
      <c r="F12" s="99" t="s">
        <v>125</v>
      </c>
      <c r="G12" s="54"/>
      <c r="H12" s="89" t="s">
        <v>126</v>
      </c>
      <c r="K12" s="89" t="s">
        <v>127</v>
      </c>
      <c r="M12" s="100" t="s">
        <v>128</v>
      </c>
      <c r="N12" s="99" t="s">
        <v>129</v>
      </c>
      <c r="P12" s="89" t="s">
        <v>130</v>
      </c>
      <c r="R12" s="100" t="s">
        <v>131</v>
      </c>
      <c r="S12" s="99" t="s">
        <v>132</v>
      </c>
    </row>
    <row r="13" ht="75.75" customHeight="1">
      <c r="C13" s="126" t="s">
        <v>258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C14" s="94" t="s">
        <v>188</v>
      </c>
      <c r="D14" s="89" t="s">
        <v>152</v>
      </c>
      <c r="F14" s="99" t="s">
        <v>153</v>
      </c>
      <c r="G14" s="54"/>
      <c r="H14" s="89" t="s">
        <v>154</v>
      </c>
      <c r="J14" s="94" t="s">
        <v>188</v>
      </c>
      <c r="K14" s="89" t="s">
        <v>155</v>
      </c>
      <c r="M14" s="100" t="s">
        <v>156</v>
      </c>
      <c r="N14" s="89" t="s">
        <v>157</v>
      </c>
      <c r="O14" s="94" t="s">
        <v>188</v>
      </c>
      <c r="P14" s="89" t="s">
        <v>158</v>
      </c>
      <c r="R14" s="100" t="s">
        <v>159</v>
      </c>
      <c r="S14" s="89" t="s">
        <v>160</v>
      </c>
      <c r="T14" s="49" t="s">
        <v>194</v>
      </c>
    </row>
    <row r="15" ht="72.0" customHeight="1">
      <c r="D15" s="57" t="s">
        <v>259</v>
      </c>
      <c r="E15" s="54"/>
      <c r="F15" s="57" t="s">
        <v>260</v>
      </c>
      <c r="G15" s="54"/>
      <c r="H15" s="57" t="s">
        <v>261</v>
      </c>
      <c r="K15" s="57" t="s">
        <v>262</v>
      </c>
      <c r="M15" s="79" t="s">
        <v>263</v>
      </c>
      <c r="N15" s="57" t="s">
        <v>264</v>
      </c>
      <c r="P15" s="57" t="s">
        <v>265</v>
      </c>
      <c r="R15" s="79"/>
      <c r="S15" s="57" t="s">
        <v>266</v>
      </c>
    </row>
    <row r="16">
      <c r="C16" s="101"/>
      <c r="D16" s="101"/>
      <c r="E16" s="101"/>
      <c r="F16" s="103"/>
      <c r="G16" s="102"/>
      <c r="H16" s="101"/>
      <c r="I16" s="101"/>
      <c r="J16" s="101"/>
      <c r="K16" s="101"/>
      <c r="L16" s="101"/>
      <c r="M16" s="104"/>
      <c r="N16" s="101"/>
      <c r="O16" s="101"/>
      <c r="P16" s="101"/>
      <c r="Q16" s="101"/>
      <c r="R16" s="104"/>
      <c r="S16" s="101"/>
      <c r="T16" s="64"/>
    </row>
    <row r="17">
      <c r="C17" s="94" t="s">
        <v>188</v>
      </c>
      <c r="D17" s="89" t="s">
        <v>161</v>
      </c>
      <c r="F17" s="99" t="s">
        <v>162</v>
      </c>
      <c r="G17" s="54"/>
      <c r="H17" s="89" t="s">
        <v>163</v>
      </c>
      <c r="J17" s="94" t="s">
        <v>188</v>
      </c>
      <c r="K17" s="89" t="s">
        <v>164</v>
      </c>
      <c r="M17" s="100" t="s">
        <v>165</v>
      </c>
      <c r="N17" s="89" t="s">
        <v>166</v>
      </c>
      <c r="O17" s="94" t="s">
        <v>188</v>
      </c>
      <c r="P17" s="89" t="s">
        <v>167</v>
      </c>
      <c r="R17" s="100" t="s">
        <v>168</v>
      </c>
      <c r="S17" s="89" t="s">
        <v>169</v>
      </c>
      <c r="T17" s="49" t="s">
        <v>188</v>
      </c>
    </row>
    <row r="18">
      <c r="D18" s="57"/>
      <c r="F18" s="58"/>
      <c r="G18" s="54"/>
      <c r="H18" s="127"/>
      <c r="K18" s="57" t="s">
        <v>267</v>
      </c>
      <c r="M18" s="79" t="s">
        <v>268</v>
      </c>
      <c r="N18" s="57" t="s">
        <v>269</v>
      </c>
      <c r="P18" s="119" t="s">
        <v>270</v>
      </c>
      <c r="Q18" s="54"/>
      <c r="R18" s="125" t="s">
        <v>271</v>
      </c>
      <c r="S18" s="128"/>
    </row>
    <row r="19" ht="48.0" customHeight="1">
      <c r="F19" s="81"/>
      <c r="G19" s="54"/>
      <c r="M19" s="83"/>
      <c r="P19" s="81"/>
      <c r="Q19" s="54"/>
      <c r="R19" s="83"/>
    </row>
    <row r="20">
      <c r="C20" s="101"/>
      <c r="D20" s="101"/>
      <c r="E20" s="101"/>
      <c r="F20" s="103"/>
      <c r="G20" s="102"/>
      <c r="H20" s="101"/>
      <c r="I20" s="101"/>
      <c r="J20" s="101"/>
      <c r="K20" s="101"/>
      <c r="L20" s="101"/>
      <c r="M20" s="104"/>
      <c r="N20" s="101"/>
      <c r="O20" s="101"/>
      <c r="P20" s="101"/>
      <c r="Q20" s="101"/>
      <c r="R20" s="104"/>
      <c r="S20" s="101"/>
      <c r="T20" s="64"/>
    </row>
    <row r="21">
      <c r="C21" s="94" t="s">
        <v>210</v>
      </c>
      <c r="D21" s="89" t="s">
        <v>170</v>
      </c>
      <c r="F21" s="99" t="s">
        <v>171</v>
      </c>
      <c r="G21" s="54"/>
      <c r="H21" s="89" t="s">
        <v>172</v>
      </c>
      <c r="J21" s="94" t="s">
        <v>188</v>
      </c>
      <c r="K21" s="89" t="s">
        <v>173</v>
      </c>
      <c r="M21" s="100" t="s">
        <v>174</v>
      </c>
      <c r="N21" s="89" t="s">
        <v>175</v>
      </c>
      <c r="O21" s="94" t="s">
        <v>188</v>
      </c>
      <c r="P21" s="89" t="s">
        <v>176</v>
      </c>
      <c r="R21" s="100" t="s">
        <v>177</v>
      </c>
      <c r="S21" s="89" t="s">
        <v>178</v>
      </c>
      <c r="T21" s="49" t="s">
        <v>188</v>
      </c>
    </row>
    <row r="22">
      <c r="D22" s="57" t="s">
        <v>272</v>
      </c>
      <c r="F22" s="58" t="s">
        <v>272</v>
      </c>
      <c r="G22" s="54"/>
      <c r="H22" s="57" t="s">
        <v>273</v>
      </c>
      <c r="K22" s="57" t="s">
        <v>274</v>
      </c>
      <c r="L22" s="54"/>
      <c r="M22" s="78" t="s">
        <v>275</v>
      </c>
      <c r="N22" s="57" t="s">
        <v>276</v>
      </c>
      <c r="P22" s="128"/>
      <c r="R22" s="129"/>
      <c r="S22" s="57"/>
    </row>
    <row r="23" ht="60.0" customHeight="1">
      <c r="F23" s="81"/>
      <c r="G23" s="54"/>
      <c r="L23" s="54"/>
      <c r="M23" s="54"/>
      <c r="R23" s="83"/>
    </row>
    <row r="24">
      <c r="C24" s="90"/>
      <c r="D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</row>
    <row r="34"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</row>
    <row r="36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</row>
    <row r="38"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</row>
    <row r="40"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</row>
    <row r="41"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</row>
    <row r="42"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</row>
    <row r="43"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</row>
    <row r="44"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</row>
    <row r="54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</row>
    <row r="64"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</row>
    <row r="74"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</row>
    <row r="76"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</row>
    <row r="78"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</row>
    <row r="79"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</row>
    <row r="81"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</row>
    <row r="83"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</row>
    <row r="84"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</row>
    <row r="86"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</row>
    <row r="88"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</row>
    <row r="93"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</row>
    <row r="98"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</row>
    <row r="103"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</row>
    <row r="105"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</row>
    <row r="107"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</row>
    <row r="108"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</row>
    <row r="182"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</row>
    <row r="184"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</row>
    <row r="189"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</row>
    <row r="190"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</row>
    <row r="194"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</row>
    <row r="195"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</row>
    <row r="197"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</row>
    <row r="199"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</row>
    <row r="200"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</row>
    <row r="202"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</row>
    <row r="204"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</row>
    <row r="205"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</row>
    <row r="207"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</row>
    <row r="209"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</row>
    <row r="210"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</row>
    <row r="211"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</row>
    <row r="255"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</row>
    <row r="257"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</row>
    <row r="258"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</row>
    <row r="260"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</row>
    <row r="262"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</row>
    <row r="263"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</row>
    <row r="265"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</row>
    <row r="324"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</row>
    <row r="326"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</row>
    <row r="329"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</row>
    <row r="331"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</row>
    <row r="332"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</row>
    <row r="334"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</row>
    <row r="336"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</row>
    <row r="337"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</row>
    <row r="339"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</row>
    <row r="341"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</row>
    <row r="342"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</row>
    <row r="344"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</row>
    <row r="346"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</row>
    <row r="347"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</row>
    <row r="349"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</row>
    <row r="351"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</row>
    <row r="352"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</row>
    <row r="353"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</row>
    <row r="354"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</row>
    <row r="355"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</row>
    <row r="356"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</row>
    <row r="380"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</row>
    <row r="381"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</row>
    <row r="382"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</row>
    <row r="383"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</row>
    <row r="384"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</row>
    <row r="385"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</row>
    <row r="386"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</row>
    <row r="387"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</row>
    <row r="388"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</row>
    <row r="389"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</row>
    <row r="390"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</row>
    <row r="391"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</row>
    <row r="392"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</row>
    <row r="393"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</row>
    <row r="394"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</row>
    <row r="395"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</row>
    <row r="396"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</row>
    <row r="397"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</row>
    <row r="398"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</row>
    <row r="399"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</row>
    <row r="400"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</row>
    <row r="401"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</row>
    <row r="402"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</row>
    <row r="403"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</row>
    <row r="404"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</row>
    <row r="405"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</row>
    <row r="406"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</row>
    <row r="407"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</row>
    <row r="408"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</row>
    <row r="409"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</row>
    <row r="410"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</row>
    <row r="411"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</row>
    <row r="412"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</row>
    <row r="413"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</row>
    <row r="414"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</row>
    <row r="415"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</row>
    <row r="416"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</row>
    <row r="418"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</row>
    <row r="419"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</row>
    <row r="421"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</row>
    <row r="423"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</row>
    <row r="424"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</row>
    <row r="450"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</row>
    <row r="451"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</row>
    <row r="452"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</row>
    <row r="453"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</row>
    <row r="455"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</row>
    <row r="457"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</row>
    <row r="459"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</row>
    <row r="460"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</row>
    <row r="461"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</row>
    <row r="462"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</row>
    <row r="464"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</row>
    <row r="465"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</row>
    <row r="466"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</row>
    <row r="467"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</row>
    <row r="469"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</row>
    <row r="470"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</row>
    <row r="471"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</row>
    <row r="472"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</row>
    <row r="473"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</row>
    <row r="474"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</row>
    <row r="475"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</row>
    <row r="476"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</row>
    <row r="477"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</row>
    <row r="478"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</row>
    <row r="479"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</row>
    <row r="480"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</row>
    <row r="481"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</row>
    <row r="482"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</row>
    <row r="483"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</row>
    <row r="484"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</row>
    <row r="485"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</row>
    <row r="487"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</row>
    <row r="488"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</row>
    <row r="490"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</row>
    <row r="492"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</row>
    <row r="493"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</row>
    <row r="495"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</row>
    <row r="497"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</row>
    <row r="498"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</row>
    <row r="500"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</row>
    <row r="502"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</row>
    <row r="503"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</row>
    <row r="505"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</row>
    <row r="507"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</row>
    <row r="508"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</row>
    <row r="510"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</row>
    <row r="512"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</row>
    <row r="513"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</row>
    <row r="514"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</row>
    <row r="515"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</row>
    <row r="516"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</row>
    <row r="517"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</row>
    <row r="518"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</row>
    <row r="519"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</row>
    <row r="520"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</row>
    <row r="521"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</row>
    <row r="522"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</row>
    <row r="523"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</row>
    <row r="524"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</row>
    <row r="525"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</row>
    <row r="526"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</row>
    <row r="527"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</row>
    <row r="528"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</row>
    <row r="529"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</row>
    <row r="530"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</row>
    <row r="531"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</row>
    <row r="532"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</row>
    <row r="533"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</row>
    <row r="534"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</row>
    <row r="535"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</row>
    <row r="536"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</row>
    <row r="537"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</row>
    <row r="538"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</row>
    <row r="539"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</row>
    <row r="540"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</row>
    <row r="541"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</row>
    <row r="542"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</row>
    <row r="543"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</row>
    <row r="544"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</row>
    <row r="545"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</row>
    <row r="546"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</row>
    <row r="547"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</row>
    <row r="548"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</row>
    <row r="549"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</row>
    <row r="550"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</row>
    <row r="551"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</row>
    <row r="552"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</row>
    <row r="569"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</row>
    <row r="571"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</row>
    <row r="572"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</row>
    <row r="574"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</row>
    <row r="576"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</row>
    <row r="577"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</row>
    <row r="579"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</row>
    <row r="581"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</row>
    <row r="582"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</row>
    <row r="584"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</row>
    <row r="586"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</row>
    <row r="587"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</row>
    <row r="589"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</row>
    <row r="591"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</row>
    <row r="592"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</row>
    <row r="594"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</row>
    <row r="596"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</row>
    <row r="597"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</row>
    <row r="598"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</row>
    <row r="599"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</row>
    <row r="600"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</row>
    <row r="601"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</row>
    <row r="602"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</row>
    <row r="603"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</row>
    <row r="604"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</row>
    <row r="605"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</row>
    <row r="606"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</row>
    <row r="607"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</row>
    <row r="608"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</row>
    <row r="609"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</row>
    <row r="610"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</row>
    <row r="611"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</row>
    <row r="612"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</row>
    <row r="613"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</row>
    <row r="614"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</row>
    <row r="615"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</row>
    <row r="616"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</row>
    <row r="617"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</row>
    <row r="618"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</row>
    <row r="619"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</row>
    <row r="620"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</row>
    <row r="621"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</row>
    <row r="622"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</row>
    <row r="623"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</row>
    <row r="624"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</row>
    <row r="625"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</row>
    <row r="626"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</row>
    <row r="627"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</row>
    <row r="628"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</row>
    <row r="629"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</row>
    <row r="630"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</row>
    <row r="631"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</row>
    <row r="632"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</row>
    <row r="633"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</row>
    <row r="634"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</row>
    <row r="635"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</row>
    <row r="636"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</row>
    <row r="637"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</row>
    <row r="638"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</row>
    <row r="639"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</row>
    <row r="640"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</row>
    <row r="641"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</row>
    <row r="642"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</row>
    <row r="643"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</row>
    <row r="644"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</row>
    <row r="645"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</row>
    <row r="646"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</row>
    <row r="647"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</row>
    <row r="648"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</row>
    <row r="649"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</row>
    <row r="650"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</row>
    <row r="651"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</row>
    <row r="652"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</row>
    <row r="653"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</row>
    <row r="654"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</row>
    <row r="655"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</row>
    <row r="656"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</row>
    <row r="657"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</row>
    <row r="658"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</row>
    <row r="659"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</row>
    <row r="660"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</row>
    <row r="661"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</row>
    <row r="662"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</row>
    <row r="663"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</row>
    <row r="664"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</row>
    <row r="665"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</row>
    <row r="666"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</row>
    <row r="667"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</row>
    <row r="668"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</row>
    <row r="669"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</row>
    <row r="670"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</row>
    <row r="671"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</row>
    <row r="672"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</row>
    <row r="673"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</row>
    <row r="674"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</row>
    <row r="675"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</row>
    <row r="676"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</row>
    <row r="693"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</row>
    <row r="696"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</row>
    <row r="698"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</row>
    <row r="700"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</row>
    <row r="701"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</row>
    <row r="703"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</row>
    <row r="706"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</row>
    <row r="708"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</row>
    <row r="710"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</row>
    <row r="711"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</row>
    <row r="713"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</row>
    <row r="715"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</row>
    <row r="716"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</row>
    <row r="718"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</row>
    <row r="720"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</row>
    <row r="721"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</row>
    <row r="722"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</row>
    <row r="723"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</row>
    <row r="724"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</row>
    <row r="725"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</row>
    <row r="726"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</row>
    <row r="727"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</row>
    <row r="728"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</row>
    <row r="729"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</row>
    <row r="730"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</row>
    <row r="731"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</row>
    <row r="732"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</row>
    <row r="733"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</row>
    <row r="734"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</row>
    <row r="735"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</row>
    <row r="736"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</row>
    <row r="737"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</row>
    <row r="738"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</row>
    <row r="739"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</row>
    <row r="740"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</row>
    <row r="741"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</row>
    <row r="742"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</row>
    <row r="743"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</row>
    <row r="744"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</row>
    <row r="745"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</row>
    <row r="746"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</row>
    <row r="747"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</row>
    <row r="748"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</row>
    <row r="749"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</row>
    <row r="750"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</row>
    <row r="751"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</row>
    <row r="752"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</row>
    <row r="753"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</row>
    <row r="754"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</row>
    <row r="755"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</row>
    <row r="756"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</row>
    <row r="757"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</row>
    <row r="758"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</row>
    <row r="759"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</row>
    <row r="760"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</row>
    <row r="761"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</row>
    <row r="762"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</row>
    <row r="763"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</row>
    <row r="764"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</row>
    <row r="765"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</row>
    <row r="766"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</row>
    <row r="767"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</row>
    <row r="768"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</row>
    <row r="769"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</row>
    <row r="770"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</row>
    <row r="771"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</row>
    <row r="772"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</row>
    <row r="773"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</row>
    <row r="774"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</row>
    <row r="775"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</row>
    <row r="776"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</row>
    <row r="777"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</row>
    <row r="778"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</row>
    <row r="779"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</row>
    <row r="780"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</row>
    <row r="781"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</row>
    <row r="782"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</row>
    <row r="783"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</row>
    <row r="784"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</row>
    <row r="785"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</row>
    <row r="786"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</row>
    <row r="787"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</row>
    <row r="788"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</row>
    <row r="789"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</row>
    <row r="790"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</row>
    <row r="791"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</row>
    <row r="792"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</row>
    <row r="793"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</row>
    <row r="794"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</row>
    <row r="795"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</row>
    <row r="796"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</row>
    <row r="797"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</row>
    <row r="798"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</row>
    <row r="799"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</row>
    <row r="800"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</row>
    <row r="801"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</row>
    <row r="802"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</row>
    <row r="803"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</row>
    <row r="804"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</row>
    <row r="805"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</row>
    <row r="806"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</row>
    <row r="807"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</row>
    <row r="808"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</row>
    <row r="809"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</row>
    <row r="812"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</row>
    <row r="814"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</row>
    <row r="815"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</row>
    <row r="817"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</row>
    <row r="819"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</row>
    <row r="820"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</row>
    <row r="822"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</row>
    <row r="824"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</row>
    <row r="825"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</row>
    <row r="827"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</row>
    <row r="829"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</row>
    <row r="830"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</row>
    <row r="831"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</row>
    <row r="832"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</row>
    <row r="834"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</row>
    <row r="835"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</row>
    <row r="837"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</row>
    <row r="839"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</row>
    <row r="840"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</row>
    <row r="841"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</row>
    <row r="842"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</row>
    <row r="843"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</row>
    <row r="844"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</row>
    <row r="845"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</row>
    <row r="846"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</row>
    <row r="847"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</row>
    <row r="848"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</row>
    <row r="849"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</row>
    <row r="850"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</row>
    <row r="851"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</row>
    <row r="852"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</row>
    <row r="853"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</row>
    <row r="854"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</row>
    <row r="855"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</row>
    <row r="856"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</row>
    <row r="857"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</row>
    <row r="858"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</row>
    <row r="859"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</row>
    <row r="860"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</row>
    <row r="861"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</row>
    <row r="862"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</row>
    <row r="863"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</row>
    <row r="864"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</row>
    <row r="865"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</row>
    <row r="866"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</row>
    <row r="867"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</row>
    <row r="868"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</row>
    <row r="869"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</row>
    <row r="870"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</row>
    <row r="871"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</row>
    <row r="872"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</row>
    <row r="873"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</row>
    <row r="874"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</row>
    <row r="875"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</row>
    <row r="876"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</row>
    <row r="877"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</row>
    <row r="878"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</row>
    <row r="879"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</row>
    <row r="880"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</row>
    <row r="881"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</row>
    <row r="882"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</row>
    <row r="883"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</row>
    <row r="884"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</row>
    <row r="885"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</row>
    <row r="886"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</row>
    <row r="887"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</row>
    <row r="888"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</row>
    <row r="889"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</row>
    <row r="890"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</row>
    <row r="891"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</row>
    <row r="892"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</row>
    <row r="893"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</row>
    <row r="894"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</row>
    <row r="895"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</row>
    <row r="896"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</row>
    <row r="897"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</row>
    <row r="898"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</row>
    <row r="899"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</row>
    <row r="900"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</row>
    <row r="901"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</row>
    <row r="902"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</row>
    <row r="903"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</row>
    <row r="904"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</row>
    <row r="905"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</row>
    <row r="906"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</row>
    <row r="907"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</row>
    <row r="908"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</row>
    <row r="909"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</row>
    <row r="910"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</row>
    <row r="911"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</row>
    <row r="912"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</row>
    <row r="913"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</row>
    <row r="914"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</row>
    <row r="915"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</row>
    <row r="916"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</row>
    <row r="917"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</row>
    <row r="918"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</row>
    <row r="919"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</row>
    <row r="920"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</row>
    <row r="921"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</row>
    <row r="922"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</row>
    <row r="923"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</row>
    <row r="924"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</row>
    <row r="925"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</row>
    <row r="926"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</row>
    <row r="927"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</row>
    <row r="928"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</row>
    <row r="929"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</row>
    <row r="930"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</row>
    <row r="931"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</row>
    <row r="932"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</row>
    <row r="933"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</row>
    <row r="934"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</row>
    <row r="935"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</row>
    <row r="936"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</row>
    <row r="937"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</row>
    <row r="938"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</row>
    <row r="939"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</row>
    <row r="940"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</row>
    <row r="941"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</row>
    <row r="942"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</row>
    <row r="943"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</row>
    <row r="944"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</row>
    <row r="945"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</row>
    <row r="946"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</row>
    <row r="947"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</row>
    <row r="948"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</row>
    <row r="949"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</row>
    <row r="950"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</row>
    <row r="951"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</row>
    <row r="952"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</row>
    <row r="953"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</row>
    <row r="954"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</row>
    <row r="955"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</row>
    <row r="956"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</row>
    <row r="957"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</row>
    <row r="958"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</row>
    <row r="959"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</row>
    <row r="960"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</row>
    <row r="961"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</row>
    <row r="962"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</row>
    <row r="963"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</row>
    <row r="964"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</row>
    <row r="965"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</row>
    <row r="966"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</row>
    <row r="967"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</row>
    <row r="968"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</row>
    <row r="969"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</row>
    <row r="970"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</row>
    <row r="971"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</row>
    <row r="972"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</row>
    <row r="973"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</row>
    <row r="974"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</row>
    <row r="975"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</row>
    <row r="976"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</row>
    <row r="977"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</row>
    <row r="978"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</row>
    <row r="979"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</row>
    <row r="980"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</row>
    <row r="981"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</row>
    <row r="982"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</row>
    <row r="983"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</row>
    <row r="984"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</row>
    <row r="985"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</row>
    <row r="986"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</row>
    <row r="987"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</row>
    <row r="988"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</row>
    <row r="989"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</row>
    <row r="990"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</row>
  </sheetData>
  <mergeCells count="108">
    <mergeCell ref="D7:E8"/>
    <mergeCell ref="F7:G8"/>
    <mergeCell ref="B3:B23"/>
    <mergeCell ref="C11:C12"/>
    <mergeCell ref="C14:C15"/>
    <mergeCell ref="C17:C19"/>
    <mergeCell ref="C21:C23"/>
    <mergeCell ref="D2:E2"/>
    <mergeCell ref="F2:G2"/>
    <mergeCell ref="H2:I2"/>
    <mergeCell ref="D3:E4"/>
    <mergeCell ref="H5:I5"/>
    <mergeCell ref="H7:I8"/>
    <mergeCell ref="H9:I9"/>
    <mergeCell ref="D9:E9"/>
    <mergeCell ref="F9:G9"/>
    <mergeCell ref="D11:E11"/>
    <mergeCell ref="F11:G11"/>
    <mergeCell ref="H11:I11"/>
    <mergeCell ref="F12:G12"/>
    <mergeCell ref="H12:I12"/>
    <mergeCell ref="D12:E12"/>
    <mergeCell ref="D14:E14"/>
    <mergeCell ref="F14:G14"/>
    <mergeCell ref="H14:I14"/>
    <mergeCell ref="D15:E15"/>
    <mergeCell ref="F15:G15"/>
    <mergeCell ref="H15:I15"/>
    <mergeCell ref="F21:G21"/>
    <mergeCell ref="H21:I21"/>
    <mergeCell ref="D22:E23"/>
    <mergeCell ref="F22:G23"/>
    <mergeCell ref="H22:I23"/>
    <mergeCell ref="D24:E24"/>
    <mergeCell ref="D17:E17"/>
    <mergeCell ref="F17:G17"/>
    <mergeCell ref="H17:I17"/>
    <mergeCell ref="D18:E19"/>
    <mergeCell ref="F18:G19"/>
    <mergeCell ref="H18:I19"/>
    <mergeCell ref="D21:E21"/>
    <mergeCell ref="K2:L2"/>
    <mergeCell ref="K3:L4"/>
    <mergeCell ref="M3:M4"/>
    <mergeCell ref="N3:N4"/>
    <mergeCell ref="O3:O5"/>
    <mergeCell ref="R3:R4"/>
    <mergeCell ref="K5:L5"/>
    <mergeCell ref="J3:J5"/>
    <mergeCell ref="J7:J9"/>
    <mergeCell ref="K7:L8"/>
    <mergeCell ref="M7:M8"/>
    <mergeCell ref="N7:N8"/>
    <mergeCell ref="O7:O9"/>
    <mergeCell ref="K9:L9"/>
    <mergeCell ref="K17:L17"/>
    <mergeCell ref="K18:L19"/>
    <mergeCell ref="M18:M19"/>
    <mergeCell ref="N18:N19"/>
    <mergeCell ref="J14:J15"/>
    <mergeCell ref="K14:L14"/>
    <mergeCell ref="P14:Q14"/>
    <mergeCell ref="K15:L15"/>
    <mergeCell ref="P15:Q15"/>
    <mergeCell ref="J17:J19"/>
    <mergeCell ref="P17:Q17"/>
    <mergeCell ref="P18:Q19"/>
    <mergeCell ref="K22:L23"/>
    <mergeCell ref="M22:M23"/>
    <mergeCell ref="P21:Q21"/>
    <mergeCell ref="P22:Q23"/>
    <mergeCell ref="O14:O15"/>
    <mergeCell ref="O17:O19"/>
    <mergeCell ref="R18:R19"/>
    <mergeCell ref="J21:J23"/>
    <mergeCell ref="K21:L21"/>
    <mergeCell ref="O21:O23"/>
    <mergeCell ref="N22:N23"/>
    <mergeCell ref="R22:R23"/>
    <mergeCell ref="F3:G4"/>
    <mergeCell ref="H3:I4"/>
    <mergeCell ref="D5:E5"/>
    <mergeCell ref="F5:G5"/>
    <mergeCell ref="P3:Q4"/>
    <mergeCell ref="P5:Q5"/>
    <mergeCell ref="P7:Q8"/>
    <mergeCell ref="R7:R8"/>
    <mergeCell ref="P9:Q9"/>
    <mergeCell ref="C3:C5"/>
    <mergeCell ref="C7:C9"/>
    <mergeCell ref="J11:J12"/>
    <mergeCell ref="K11:L11"/>
    <mergeCell ref="O11:O12"/>
    <mergeCell ref="P11:Q11"/>
    <mergeCell ref="K12:L12"/>
    <mergeCell ref="P12:Q12"/>
    <mergeCell ref="C13:T13"/>
    <mergeCell ref="T17:T19"/>
    <mergeCell ref="S18:S19"/>
    <mergeCell ref="T21:T23"/>
    <mergeCell ref="S22:S23"/>
    <mergeCell ref="S3:S4"/>
    <mergeCell ref="T3:T5"/>
    <mergeCell ref="U3:U23"/>
    <mergeCell ref="S7:S8"/>
    <mergeCell ref="T7:T9"/>
    <mergeCell ref="T11:T12"/>
    <mergeCell ref="T14:T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88"/>
    <col customWidth="1" min="3" max="3" width="3.88"/>
    <col customWidth="1" min="4" max="4" width="13.38"/>
    <col customWidth="1" min="5" max="5" width="13.88"/>
    <col customWidth="1" min="6" max="6" width="3.88"/>
    <col customWidth="1" min="7" max="7" width="7.75"/>
  </cols>
  <sheetData>
    <row r="1" ht="21.75" customHeight="1"/>
    <row r="2" ht="105.0" customHeight="1">
      <c r="C2" s="49" t="s">
        <v>188</v>
      </c>
      <c r="D2" s="130" t="s">
        <v>277</v>
      </c>
      <c r="E2" s="57" t="s">
        <v>189</v>
      </c>
      <c r="F2" s="94" t="s">
        <v>278</v>
      </c>
    </row>
    <row r="3">
      <c r="D3" s="88" t="s">
        <v>185</v>
      </c>
      <c r="E3" s="88" t="s">
        <v>186</v>
      </c>
    </row>
    <row r="4">
      <c r="C4" s="64"/>
      <c r="D4" s="64"/>
      <c r="E4" s="64"/>
      <c r="F4" s="64"/>
    </row>
    <row r="5" ht="87.0" customHeight="1">
      <c r="C5" s="49" t="s">
        <v>188</v>
      </c>
      <c r="D5" s="130" t="s">
        <v>277</v>
      </c>
      <c r="E5" s="57" t="s">
        <v>189</v>
      </c>
      <c r="F5" s="49" t="s">
        <v>278</v>
      </c>
    </row>
    <row r="6">
      <c r="D6" s="88" t="s">
        <v>183</v>
      </c>
      <c r="E6" s="88" t="s">
        <v>184</v>
      </c>
    </row>
    <row r="7">
      <c r="C7" s="64"/>
      <c r="D7" s="64"/>
      <c r="E7" s="64"/>
      <c r="F7" s="64"/>
    </row>
    <row r="8" ht="72.75" customHeight="1">
      <c r="C8" s="49" t="s">
        <v>194</v>
      </c>
      <c r="D8" s="130" t="s">
        <v>279</v>
      </c>
      <c r="E8" s="130" t="s">
        <v>280</v>
      </c>
      <c r="F8" s="49" t="s">
        <v>194</v>
      </c>
    </row>
    <row r="9">
      <c r="D9" s="88" t="s">
        <v>181</v>
      </c>
      <c r="E9" s="88" t="s">
        <v>182</v>
      </c>
    </row>
    <row r="10">
      <c r="B10" s="131"/>
      <c r="C10" s="131"/>
      <c r="D10" s="131"/>
      <c r="E10" s="131"/>
      <c r="F10" s="131"/>
      <c r="G10" s="131"/>
    </row>
  </sheetData>
  <mergeCells count="6">
    <mergeCell ref="C2:C3"/>
    <mergeCell ref="F2:F3"/>
    <mergeCell ref="C5:C6"/>
    <mergeCell ref="F5:F6"/>
    <mergeCell ref="C8:C9"/>
    <mergeCell ref="F8:F9"/>
  </mergeCells>
  <drawing r:id="rId1"/>
</worksheet>
</file>