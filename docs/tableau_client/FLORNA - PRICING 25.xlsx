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rifs 25" sheetId="1" r:id="rId4"/>
    <sheet state="visible" name="Tarifs 26" sheetId="2" r:id="rId5"/>
    <sheet state="visible" name="Propal 2026 Winwin" sheetId="3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9">
      <text>
        <t xml:space="preserve">Delivengo</t>
      </text>
    </comment>
    <comment authorId="0" ref="G10">
      <text>
        <t xml:space="preserve">Colis Privé Belgique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4">
      <text>
        <t xml:space="preserve">https://app-store.sendcloud.com/categories/wms</t>
      </text>
    </comment>
    <comment authorId="0" ref="B25">
      <text>
        <t xml:space="preserve">https://support.sendcloud.com/hc/fr/articles/27525573677201-Shopify-Plus-Dynamic-Checkout-app</t>
      </text>
    </comment>
  </commentList>
</comments>
</file>

<file path=xl/sharedStrings.xml><?xml version="1.0" encoding="utf-8"?>
<sst xmlns="http://schemas.openxmlformats.org/spreadsheetml/2006/main" count="112" uniqueCount="65">
  <si>
    <t>HME-LOGISTICS</t>
  </si>
  <si>
    <t>La plateforme logistique créé par des E-commerçants pour les E-commerçants!</t>
  </si>
  <si>
    <t>TARIFS</t>
  </si>
  <si>
    <t>POIDS</t>
  </si>
  <si>
    <t>RELAY</t>
  </si>
  <si>
    <t>DOMICILE</t>
  </si>
  <si>
    <t>BELGIQUE</t>
  </si>
  <si>
    <t>SUISSE</t>
  </si>
  <si>
    <t>UE + DOM</t>
  </si>
  <si>
    <t>WORLD</t>
  </si>
  <si>
    <t>0,100 Kg</t>
  </si>
  <si>
    <t>-</t>
  </si>
  <si>
    <t>0,250 Kg</t>
  </si>
  <si>
    <t>0,50 Kg</t>
  </si>
  <si>
    <t>0,75 Kg</t>
  </si>
  <si>
    <t>1 Kg</t>
  </si>
  <si>
    <t>2 Kg</t>
  </si>
  <si>
    <t>3 Kg</t>
  </si>
  <si>
    <t>4 Kg</t>
  </si>
  <si>
    <t>5 Kg</t>
  </si>
  <si>
    <t>6 Kg</t>
  </si>
  <si>
    <t>7 Kg</t>
  </si>
  <si>
    <t>8 Kg</t>
  </si>
  <si>
    <t>9 Kg</t>
  </si>
  <si>
    <t>10 Kg</t>
  </si>
  <si>
    <t>15 Kg</t>
  </si>
  <si>
    <t>30 Kg</t>
  </si>
  <si>
    <t>RELAY FR</t>
  </si>
  <si>
    <t>DOMICILE FR</t>
  </si>
  <si>
    <t>7,5 Kg</t>
  </si>
  <si>
    <t>Volume</t>
  </si>
  <si>
    <t>15-20k / mois</t>
  </si>
  <si>
    <t>25k / mois</t>
  </si>
  <si>
    <t>Bigblue 2025</t>
  </si>
  <si>
    <t>Bigblue 2026</t>
  </si>
  <si>
    <t>HME 2025</t>
  </si>
  <si>
    <t>HME 2026</t>
  </si>
  <si>
    <t>Plus avantageux et degressif</t>
  </si>
  <si>
    <t>Remise sur volume</t>
  </si>
  <si>
    <t>-0,05€ par tranche de 2.500 sup</t>
  </si>
  <si>
    <t>MINIMUM</t>
  </si>
  <si>
    <t>22,5k</t>
  </si>
  <si>
    <t>25k</t>
  </si>
  <si>
    <t>Volume basé sur l'année : RFA autorisé (pas à la 15aine)</t>
  </si>
  <si>
    <t>27,5k</t>
  </si>
  <si>
    <t>30k</t>
  </si>
  <si>
    <t>32,5k</t>
  </si>
  <si>
    <t>35k</t>
  </si>
  <si>
    <t>Projection sur scaling</t>
  </si>
  <si>
    <t>40k</t>
  </si>
  <si>
    <t>45k</t>
  </si>
  <si>
    <t>50k</t>
  </si>
  <si>
    <t>&gt;55k</t>
  </si>
  <si>
    <t>Si rachat et scaling</t>
  </si>
  <si>
    <t>Contrepartie</t>
  </si>
  <si>
    <t xml:space="preserve">100% du volume en janvier avec possibilité de désengagement </t>
  </si>
  <si>
    <t>Point à prendre en compte</t>
  </si>
  <si>
    <t>Gérer le SAV sur Shopify pour Stock en natif sur Shopify ou App tierce avec Sendcloud</t>
  </si>
  <si>
    <t>Bascule de la technique en S52</t>
  </si>
  <si>
    <t xml:space="preserve">Avantages </t>
  </si>
  <si>
    <t>Nb de SAV inférieur à Bigblue (Erreur humaine et Transport) = Nb de ticket SAV plus faible (économie en ticketing)</t>
  </si>
  <si>
    <t>Délai des commandes expédiées le lendemain (1 à 2 jours plus rapide que Bigblue) = - de message "ou en est ma commande" = Moins de SAV (économie en ticketing)</t>
  </si>
  <si>
    <t>Capacité de pic journalier : 15.000 (prévenir à l'avance en cas d'opération marketing)</t>
  </si>
  <si>
    <t>Insertion Carte de remerciement incluse</t>
  </si>
  <si>
    <t>Florna traité en n°1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</si>
</sst>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\ [$€-1]"/>
  </numFmts>
  <fonts count="9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sz val="18.0"/>
      <color theme="1"/>
      <name val="Arial"/>
    </font>
    <font/>
    <font>
      <i/>
      <sz val="12.0"/>
      <color theme="1"/>
      <name val="Arial"/>
    </font>
    <font>
      <b/>
      <sz val="24.0"/>
      <color theme="1"/>
      <name val="Arial"/>
    </font>
    <font>
      <b/>
      <sz val="12.0"/>
      <color theme="1"/>
      <name val="Arial"/>
    </font>
    <font>
      <b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</fills>
  <borders count="20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FFFFFF"/>
      </left>
      <right style="thin">
        <color rgb="FFFFFFFF"/>
      </right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</border>
    <border>
      <right style="thin">
        <color rgb="FF000000"/>
      </right>
      <top style="thin">
        <color rgb="FFFFFFFF"/>
      </top>
      <bottom style="medium">
        <color rgb="FF000000"/>
      </bottom>
    </border>
    <border>
      <top style="thin">
        <color rgb="FFFFFFFF"/>
      </top>
      <bottom style="medium">
        <color rgb="FF000000"/>
      </bottom>
    </border>
    <border>
      <right style="medium">
        <color rgb="FF000000"/>
      </right>
      <top style="thin">
        <color rgb="FFFFFFFF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FFFFFF"/>
      </top>
      <bottom style="medium">
        <color rgb="FF000000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2" fontId="2" numFmtId="0" xfId="0" applyAlignment="1" applyBorder="1" applyFill="1" applyFont="1">
      <alignment vertical="bottom"/>
    </xf>
    <xf borderId="2" fillId="3" fontId="3" numFmtId="0" xfId="0" applyAlignment="1" applyBorder="1" applyFill="1" applyFont="1">
      <alignment horizontal="center" readingOrder="0" vertical="bottom"/>
    </xf>
    <xf borderId="3" fillId="0" fontId="4" numFmtId="0" xfId="0" applyBorder="1" applyFont="1"/>
    <xf borderId="4" fillId="0" fontId="4" numFmtId="0" xfId="0" applyBorder="1" applyFont="1"/>
    <xf borderId="2" fillId="3" fontId="5" numFmtId="0" xfId="0" applyAlignment="1" applyBorder="1" applyFont="1">
      <alignment horizontal="center" vertical="bottom"/>
    </xf>
    <xf borderId="1" fillId="0" fontId="2" numFmtId="0" xfId="0" applyAlignment="1" applyBorder="1" applyFont="1">
      <alignment vertical="bottom"/>
    </xf>
    <xf borderId="1" fillId="2" fontId="2" numFmtId="0" xfId="0" applyAlignment="1" applyBorder="1" applyFont="1">
      <alignment readingOrder="0" vertical="bottom"/>
    </xf>
    <xf borderId="2" fillId="2" fontId="2" numFmtId="0" xfId="0" applyAlignment="1" applyBorder="1" applyFont="1">
      <alignment vertical="bottom"/>
    </xf>
    <xf borderId="5" fillId="2" fontId="2" numFmtId="0" xfId="0" applyAlignment="1" applyBorder="1" applyFont="1">
      <alignment vertical="bottom"/>
    </xf>
    <xf borderId="1" fillId="0" fontId="1" numFmtId="0" xfId="0" applyAlignment="1" applyBorder="1" applyFont="1">
      <alignment shrinkToFit="0" vertical="center" wrapText="1"/>
    </xf>
    <xf borderId="5" fillId="3" fontId="6" numFmtId="0" xfId="0" applyAlignment="1" applyBorder="1" applyFont="1">
      <alignment horizontal="center" shrinkToFit="0" textRotation="255" vertical="center" wrapText="1"/>
    </xf>
    <xf borderId="2" fillId="0" fontId="2" numFmtId="0" xfId="0" applyAlignment="1" applyBorder="1" applyFont="1">
      <alignment shrinkToFit="0" vertical="center" wrapText="1"/>
    </xf>
    <xf borderId="6" fillId="3" fontId="7" numFmtId="0" xfId="0" applyAlignment="1" applyBorder="1" applyFont="1">
      <alignment horizontal="center" shrinkToFit="0" vertical="center" wrapText="1"/>
    </xf>
    <xf borderId="6" fillId="3" fontId="7" numFmtId="0" xfId="0" applyAlignment="1" applyBorder="1" applyFont="1">
      <alignment horizontal="center" readingOrder="0" shrinkToFit="0" vertical="center" wrapText="1"/>
    </xf>
    <xf borderId="4" fillId="0" fontId="1" numFmtId="0" xfId="0" applyAlignment="1" applyBorder="1" applyFont="1">
      <alignment shrinkToFit="0" vertical="center" wrapText="1"/>
    </xf>
    <xf borderId="7" fillId="0" fontId="4" numFmtId="0" xfId="0" applyBorder="1" applyFont="1"/>
    <xf borderId="2" fillId="0" fontId="2" numFmtId="0" xfId="0" applyAlignment="1" applyBorder="1" applyFont="1">
      <alignment vertical="bottom"/>
    </xf>
    <xf borderId="8" fillId="0" fontId="2" numFmtId="0" xfId="0" applyAlignment="1" applyBorder="1" applyFont="1">
      <alignment horizontal="center" readingOrder="0" vertical="bottom"/>
    </xf>
    <xf borderId="9" fillId="0" fontId="2" numFmtId="164" xfId="0" applyAlignment="1" applyBorder="1" applyFont="1" applyNumberFormat="1">
      <alignment horizontal="center" readingOrder="0" vertical="bottom"/>
    </xf>
    <xf borderId="10" fillId="0" fontId="2" numFmtId="164" xfId="0" applyAlignment="1" applyBorder="1" applyFont="1" applyNumberFormat="1">
      <alignment horizontal="center" readingOrder="0" vertical="bottom"/>
    </xf>
    <xf borderId="11" fillId="0" fontId="2" numFmtId="164" xfId="0" applyAlignment="1" applyBorder="1" applyFont="1" applyNumberFormat="1">
      <alignment horizontal="center" readingOrder="0" vertical="bottom"/>
    </xf>
    <xf borderId="4" fillId="0" fontId="1" numFmtId="0" xfId="0" applyBorder="1" applyFont="1"/>
    <xf borderId="12" fillId="0" fontId="2" numFmtId="0" xfId="0" applyAlignment="1" applyBorder="1" applyFont="1">
      <alignment horizontal="center" readingOrder="0" vertical="bottom"/>
    </xf>
    <xf borderId="9" fillId="2" fontId="2" numFmtId="164" xfId="0" applyAlignment="1" applyBorder="1" applyFont="1" applyNumberFormat="1">
      <alignment horizontal="center" readingOrder="0" vertical="bottom"/>
    </xf>
    <xf borderId="12" fillId="0" fontId="2" numFmtId="0" xfId="0" applyAlignment="1" applyBorder="1" applyFont="1">
      <alignment horizontal="center" vertical="bottom"/>
    </xf>
    <xf borderId="11" fillId="0" fontId="2" numFmtId="164" xfId="0" applyAlignment="1" applyBorder="1" applyFont="1" applyNumberFormat="1">
      <alignment horizontal="center" vertical="bottom"/>
    </xf>
    <xf borderId="10" fillId="0" fontId="2" numFmtId="164" xfId="0" applyAlignment="1" applyBorder="1" applyFont="1" applyNumberFormat="1">
      <alignment horizontal="center" vertical="bottom"/>
    </xf>
    <xf borderId="9" fillId="0" fontId="2" numFmtId="164" xfId="0" applyAlignment="1" applyBorder="1" applyFont="1" applyNumberFormat="1">
      <alignment horizontal="center" vertical="bottom"/>
    </xf>
    <xf borderId="13" fillId="0" fontId="4" numFmtId="0" xfId="0" applyBorder="1" applyFont="1"/>
    <xf borderId="14" fillId="0" fontId="2" numFmtId="0" xfId="0" applyAlignment="1" applyBorder="1" applyFont="1">
      <alignment horizontal="center" vertical="bottom"/>
    </xf>
    <xf borderId="15" fillId="0" fontId="2" numFmtId="164" xfId="0" applyAlignment="1" applyBorder="1" applyFont="1" applyNumberFormat="1">
      <alignment horizontal="center" vertical="bottom"/>
    </xf>
    <xf borderId="16" fillId="0" fontId="2" numFmtId="164" xfId="0" applyAlignment="1" applyBorder="1" applyFont="1" applyNumberFormat="1">
      <alignment horizontal="center" vertical="bottom"/>
    </xf>
    <xf borderId="17" fillId="0" fontId="2" numFmtId="164" xfId="0" applyAlignment="1" applyBorder="1" applyFont="1" applyNumberFormat="1">
      <alignment horizontal="center" vertical="bottom"/>
    </xf>
    <xf borderId="13" fillId="0" fontId="1" numFmtId="0" xfId="0" applyBorder="1" applyFont="1"/>
    <xf borderId="9" fillId="0" fontId="2" numFmtId="4" xfId="0" applyAlignment="1" applyBorder="1" applyFont="1" applyNumberFormat="1">
      <alignment horizontal="center" readingOrder="0" vertical="bottom"/>
    </xf>
    <xf borderId="10" fillId="0" fontId="2" numFmtId="4" xfId="0" applyAlignment="1" applyBorder="1" applyFont="1" applyNumberFormat="1">
      <alignment horizontal="center" readingOrder="0" vertical="bottom"/>
    </xf>
    <xf borderId="11" fillId="0" fontId="2" numFmtId="4" xfId="0" applyAlignment="1" applyBorder="1" applyFont="1" applyNumberFormat="1">
      <alignment horizontal="center" readingOrder="0" vertical="bottom"/>
    </xf>
    <xf borderId="9" fillId="2" fontId="2" numFmtId="4" xfId="0" applyAlignment="1" applyBorder="1" applyFont="1" applyNumberFormat="1">
      <alignment horizontal="center" readingOrder="0" vertical="bottom"/>
    </xf>
    <xf borderId="1" fillId="0" fontId="1" numFmtId="0" xfId="0" applyAlignment="1" applyBorder="1" applyFont="1">
      <alignment readingOrder="0"/>
    </xf>
    <xf borderId="11" fillId="0" fontId="2" numFmtId="4" xfId="0" applyAlignment="1" applyBorder="1" applyFont="1" applyNumberFormat="1">
      <alignment horizontal="center" vertical="bottom"/>
    </xf>
    <xf borderId="10" fillId="0" fontId="2" numFmtId="4" xfId="0" applyAlignment="1" applyBorder="1" applyFont="1" applyNumberFormat="1">
      <alignment horizontal="center" vertical="bottom"/>
    </xf>
    <xf borderId="9" fillId="0" fontId="2" numFmtId="4" xfId="0" applyAlignment="1" applyBorder="1" applyFont="1" applyNumberFormat="1">
      <alignment horizontal="center" vertical="bottom"/>
    </xf>
    <xf borderId="1" fillId="0" fontId="2" numFmtId="0" xfId="0" applyAlignment="1" applyBorder="1" applyFont="1">
      <alignment readingOrder="0" vertical="bottom"/>
    </xf>
    <xf borderId="18" fillId="0" fontId="2" numFmtId="164" xfId="0" applyAlignment="1" applyBorder="1" applyFont="1" applyNumberFormat="1">
      <alignment horizontal="center" readingOrder="0" vertical="bottom"/>
    </xf>
    <xf borderId="18" fillId="0" fontId="2" numFmtId="164" xfId="0" applyAlignment="1" applyBorder="1" applyFont="1" applyNumberFormat="1">
      <alignment horizontal="center" vertical="bottom"/>
    </xf>
    <xf borderId="15" fillId="0" fontId="2" numFmtId="164" xfId="0" applyAlignment="1" applyBorder="1" applyFont="1" applyNumberFormat="1">
      <alignment horizontal="center" readingOrder="0" vertical="bottom"/>
    </xf>
    <xf borderId="19" fillId="0" fontId="2" numFmtId="164" xfId="0" applyAlignment="1" applyBorder="1" applyFont="1" applyNumberFormat="1">
      <alignment horizontal="center" vertical="bottom"/>
    </xf>
    <xf borderId="5" fillId="0" fontId="1" numFmtId="0" xfId="0" applyBorder="1" applyFont="1"/>
    <xf borderId="2" fillId="0" fontId="1" numFmtId="0" xfId="0" applyBorder="1" applyFont="1"/>
    <xf borderId="1" fillId="0" fontId="2" numFmtId="164" xfId="0" applyAlignment="1" applyBorder="1" applyFont="1" applyNumberFormat="1">
      <alignment horizontal="center" readingOrder="0" vertical="bottom"/>
    </xf>
    <xf borderId="1" fillId="0" fontId="1" numFmtId="164" xfId="0" applyAlignment="1" applyBorder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4" fontId="1" numFmtId="0" xfId="0" applyAlignment="1" applyFill="1" applyFont="1">
      <alignment readingOrder="0"/>
    </xf>
    <xf borderId="0" fillId="4" fontId="1" numFmtId="0" xfId="0" applyFont="1"/>
    <xf borderId="0" fillId="5" fontId="1" numFmtId="0" xfId="0" applyAlignment="1" applyFill="1" applyFont="1">
      <alignment readingOrder="0"/>
    </xf>
    <xf borderId="0" fillId="5" fontId="1" numFmtId="164" xfId="0" applyAlignment="1" applyFont="1" applyNumberFormat="1">
      <alignment readingOrder="0"/>
    </xf>
    <xf borderId="0" fillId="0" fontId="1" numFmtId="0" xfId="0" applyFont="1"/>
    <xf borderId="0" fillId="0" fontId="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4" max="4" width="8.88"/>
    <col customWidth="1" min="5" max="10" width="21.2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/>
      <c r="B2" s="2"/>
      <c r="C2" s="2"/>
      <c r="D2" s="3" t="s">
        <v>0</v>
      </c>
      <c r="E2" s="4"/>
      <c r="F2" s="4"/>
      <c r="G2" s="4"/>
      <c r="H2" s="4"/>
      <c r="I2" s="4"/>
      <c r="J2" s="5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"/>
      <c r="B3" s="2"/>
      <c r="C3" s="2"/>
      <c r="D3" s="6" t="s">
        <v>1</v>
      </c>
      <c r="E3" s="4"/>
      <c r="F3" s="4"/>
      <c r="G3" s="4"/>
      <c r="H3" s="4"/>
      <c r="I3" s="4"/>
      <c r="J3" s="5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"/>
      <c r="B4" s="7"/>
      <c r="C4" s="7"/>
      <c r="D4" s="2"/>
      <c r="E4" s="2"/>
      <c r="F4" s="2"/>
      <c r="G4" s="2"/>
      <c r="H4" s="2"/>
      <c r="I4" s="2"/>
      <c r="J4" s="2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"/>
      <c r="B5" s="7"/>
      <c r="C5" s="7"/>
      <c r="D5" s="8"/>
      <c r="E5" s="2"/>
      <c r="F5" s="2"/>
      <c r="G5" s="2"/>
      <c r="H5" s="2"/>
      <c r="I5" s="2"/>
      <c r="J5" s="2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>
      <c r="A6" s="1"/>
      <c r="B6" s="7"/>
      <c r="C6" s="7"/>
      <c r="D6" s="9"/>
      <c r="E6" s="4"/>
      <c r="F6" s="4"/>
      <c r="G6" s="4"/>
      <c r="H6" s="4"/>
      <c r="I6" s="4"/>
      <c r="J6" s="5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>
      <c r="A7" s="1"/>
      <c r="B7" s="7"/>
      <c r="C7" s="7"/>
      <c r="D7" s="10"/>
      <c r="E7" s="10"/>
      <c r="F7" s="10"/>
      <c r="G7" s="10"/>
      <c r="H7" s="10"/>
      <c r="I7" s="10"/>
      <c r="J7" s="10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>
      <c r="A8" s="11"/>
      <c r="B8" s="12" t="s">
        <v>2</v>
      </c>
      <c r="C8" s="13"/>
      <c r="D8" s="14" t="s">
        <v>3</v>
      </c>
      <c r="E8" s="15" t="s">
        <v>4</v>
      </c>
      <c r="F8" s="15" t="s">
        <v>5</v>
      </c>
      <c r="G8" s="15" t="s">
        <v>6</v>
      </c>
      <c r="H8" s="15" t="s">
        <v>7</v>
      </c>
      <c r="I8" s="15" t="s">
        <v>8</v>
      </c>
      <c r="J8" s="15" t="s">
        <v>9</v>
      </c>
      <c r="K8" s="16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</row>
    <row r="9">
      <c r="A9" s="1"/>
      <c r="B9" s="17"/>
      <c r="C9" s="18"/>
      <c r="D9" s="19" t="s">
        <v>10</v>
      </c>
      <c r="E9" s="20" t="s">
        <v>11</v>
      </c>
      <c r="F9" s="20" t="s">
        <v>11</v>
      </c>
      <c r="G9" s="21">
        <v>6.74</v>
      </c>
      <c r="H9" s="21">
        <v>10.95</v>
      </c>
      <c r="I9" s="21">
        <v>7.72</v>
      </c>
      <c r="J9" s="22"/>
      <c r="K9" s="23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>
      <c r="A10" s="1"/>
      <c r="B10" s="17"/>
      <c r="C10" s="18"/>
      <c r="D10" s="24" t="s">
        <v>12</v>
      </c>
      <c r="E10" s="20">
        <v>5.37</v>
      </c>
      <c r="F10" s="25">
        <v>6.18</v>
      </c>
      <c r="G10" s="21">
        <v>7.5</v>
      </c>
      <c r="H10" s="21">
        <v>11.1</v>
      </c>
      <c r="I10" s="21">
        <v>8.3</v>
      </c>
      <c r="J10" s="22"/>
      <c r="K10" s="23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>
      <c r="A11" s="1"/>
      <c r="B11" s="17"/>
      <c r="C11" s="9"/>
      <c r="D11" s="26" t="s">
        <v>13</v>
      </c>
      <c r="E11" s="20">
        <v>5.42</v>
      </c>
      <c r="F11" s="20">
        <v>6.61</v>
      </c>
      <c r="G11" s="21">
        <v>8.81</v>
      </c>
      <c r="H11" s="21">
        <v>11.4</v>
      </c>
      <c r="I11" s="21">
        <v>9.31</v>
      </c>
      <c r="J11" s="22"/>
      <c r="K11" s="23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>
      <c r="A12" s="1"/>
      <c r="B12" s="17"/>
      <c r="C12" s="18"/>
      <c r="D12" s="26" t="s">
        <v>14</v>
      </c>
      <c r="E12" s="20">
        <v>6.41</v>
      </c>
      <c r="F12" s="20">
        <v>7.06</v>
      </c>
      <c r="G12" s="21">
        <v>10.13</v>
      </c>
      <c r="H12" s="21">
        <v>11.7</v>
      </c>
      <c r="I12" s="21">
        <v>10.32</v>
      </c>
      <c r="J12" s="22"/>
      <c r="K12" s="23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>
      <c r="A13" s="1"/>
      <c r="B13" s="17"/>
      <c r="C13" s="18"/>
      <c r="D13" s="26" t="s">
        <v>15</v>
      </c>
      <c r="E13" s="20">
        <v>6.46</v>
      </c>
      <c r="F13" s="20">
        <v>7.61</v>
      </c>
      <c r="G13" s="21">
        <v>11.39</v>
      </c>
      <c r="H13" s="21">
        <v>11.99</v>
      </c>
      <c r="I13" s="21">
        <v>11.33</v>
      </c>
      <c r="J13" s="27"/>
      <c r="K13" s="23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>
      <c r="A14" s="1"/>
      <c r="B14" s="17"/>
      <c r="C14" s="18"/>
      <c r="D14" s="26" t="s">
        <v>16</v>
      </c>
      <c r="E14" s="20">
        <v>6.94</v>
      </c>
      <c r="F14" s="20">
        <v>8.62</v>
      </c>
      <c r="G14" s="21">
        <v>12.8</v>
      </c>
      <c r="H14" s="21">
        <v>13.03</v>
      </c>
      <c r="I14" s="21">
        <v>15.23</v>
      </c>
      <c r="J14" s="27"/>
      <c r="K14" s="23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>
      <c r="A15" s="1"/>
      <c r="B15" s="17"/>
      <c r="C15" s="18"/>
      <c r="D15" s="26" t="s">
        <v>17</v>
      </c>
      <c r="E15" s="20">
        <v>7.53</v>
      </c>
      <c r="F15" s="20">
        <v>9.23</v>
      </c>
      <c r="G15" s="28"/>
      <c r="H15" s="28"/>
      <c r="I15" s="28"/>
      <c r="J15" s="27"/>
      <c r="K15" s="23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>
      <c r="A16" s="1"/>
      <c r="B16" s="17"/>
      <c r="C16" s="9"/>
      <c r="D16" s="26" t="s">
        <v>18</v>
      </c>
      <c r="E16" s="29"/>
      <c r="F16" s="20">
        <v>10.14</v>
      </c>
      <c r="G16" s="28"/>
      <c r="H16" s="28"/>
      <c r="I16" s="28"/>
      <c r="J16" s="27"/>
      <c r="K16" s="23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>
      <c r="A17" s="1"/>
      <c r="B17" s="17"/>
      <c r="C17" s="18"/>
      <c r="D17" s="26" t="s">
        <v>19</v>
      </c>
      <c r="E17" s="29"/>
      <c r="F17" s="20">
        <v>10.94</v>
      </c>
      <c r="G17" s="28"/>
      <c r="H17" s="28"/>
      <c r="I17" s="28"/>
      <c r="J17" s="27"/>
      <c r="K17" s="23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>
      <c r="A18" s="1"/>
      <c r="B18" s="17"/>
      <c r="C18" s="9"/>
      <c r="D18" s="26" t="s">
        <v>20</v>
      </c>
      <c r="E18" s="29"/>
      <c r="F18" s="29"/>
      <c r="G18" s="28"/>
      <c r="H18" s="28"/>
      <c r="I18" s="28"/>
      <c r="J18" s="27"/>
      <c r="K18" s="23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>
      <c r="A19" s="1"/>
      <c r="B19" s="17"/>
      <c r="C19" s="9"/>
      <c r="D19" s="26" t="s">
        <v>21</v>
      </c>
      <c r="E19" s="29"/>
      <c r="F19" s="29"/>
      <c r="G19" s="28"/>
      <c r="H19" s="28"/>
      <c r="I19" s="28"/>
      <c r="J19" s="27"/>
      <c r="K19" s="23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>
      <c r="A20" s="1"/>
      <c r="B20" s="17"/>
      <c r="C20" s="9"/>
      <c r="D20" s="26" t="s">
        <v>22</v>
      </c>
      <c r="E20" s="29"/>
      <c r="F20" s="29"/>
      <c r="G20" s="28"/>
      <c r="H20" s="28"/>
      <c r="I20" s="28"/>
      <c r="J20" s="27"/>
      <c r="K20" s="23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>
      <c r="A21" s="1"/>
      <c r="B21" s="17"/>
      <c r="C21" s="9"/>
      <c r="D21" s="26" t="s">
        <v>23</v>
      </c>
      <c r="E21" s="29"/>
      <c r="F21" s="29"/>
      <c r="G21" s="28"/>
      <c r="H21" s="28"/>
      <c r="I21" s="28"/>
      <c r="J21" s="27"/>
      <c r="K21" s="23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>
      <c r="A22" s="1"/>
      <c r="B22" s="17"/>
      <c r="C22" s="9"/>
      <c r="D22" s="26" t="s">
        <v>24</v>
      </c>
      <c r="E22" s="29"/>
      <c r="F22" s="29"/>
      <c r="G22" s="28"/>
      <c r="H22" s="28"/>
      <c r="I22" s="28"/>
      <c r="J22" s="27"/>
      <c r="K22" s="23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>
      <c r="A23" s="1"/>
      <c r="B23" s="17"/>
      <c r="C23" s="9"/>
      <c r="D23" s="26" t="s">
        <v>25</v>
      </c>
      <c r="E23" s="29"/>
      <c r="F23" s="29"/>
      <c r="G23" s="28"/>
      <c r="H23" s="28"/>
      <c r="I23" s="28"/>
      <c r="J23" s="27"/>
      <c r="K23" s="23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>
      <c r="A24" s="1"/>
      <c r="B24" s="30"/>
      <c r="C24" s="9"/>
      <c r="D24" s="31" t="s">
        <v>26</v>
      </c>
      <c r="E24" s="32"/>
      <c r="F24" s="32"/>
      <c r="G24" s="33"/>
      <c r="H24" s="33"/>
      <c r="I24" s="33"/>
      <c r="J24" s="34"/>
      <c r="K24" s="23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>
      <c r="A25" s="1"/>
      <c r="B25" s="1"/>
      <c r="C25" s="1"/>
      <c r="D25" s="35"/>
      <c r="E25" s="35"/>
      <c r="F25" s="35"/>
      <c r="G25" s="35"/>
      <c r="H25" s="35"/>
      <c r="I25" s="35"/>
      <c r="J25" s="35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>
      <c r="A27" s="1"/>
      <c r="B27" s="1"/>
      <c r="C27" s="1"/>
      <c r="D27" s="14" t="s">
        <v>3</v>
      </c>
      <c r="E27" s="15" t="s">
        <v>4</v>
      </c>
      <c r="F27" s="15" t="s">
        <v>5</v>
      </c>
      <c r="G27" s="15" t="s">
        <v>6</v>
      </c>
      <c r="H27" s="15" t="s">
        <v>7</v>
      </c>
      <c r="I27" s="15" t="s">
        <v>8</v>
      </c>
      <c r="J27" s="15" t="s">
        <v>9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>
      <c r="A28" s="1"/>
      <c r="B28" s="1"/>
      <c r="C28" s="1"/>
      <c r="D28" s="19" t="s">
        <v>10</v>
      </c>
      <c r="E28" s="36"/>
      <c r="F28" s="36"/>
      <c r="G28" s="37"/>
      <c r="H28" s="37"/>
      <c r="I28" s="37"/>
      <c r="J28" s="38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>
      <c r="A29" s="1"/>
      <c r="B29" s="1"/>
      <c r="C29" s="1"/>
      <c r="D29" s="24" t="s">
        <v>12</v>
      </c>
      <c r="E29" s="36"/>
      <c r="F29" s="39"/>
      <c r="G29" s="37"/>
      <c r="H29" s="37"/>
      <c r="I29" s="37"/>
      <c r="J29" s="38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>
      <c r="A30" s="1"/>
      <c r="B30" s="1"/>
      <c r="C30" s="1"/>
      <c r="D30" s="26" t="s">
        <v>13</v>
      </c>
      <c r="E30" s="36"/>
      <c r="F30" s="36"/>
      <c r="G30" s="37"/>
      <c r="H30" s="37"/>
      <c r="I30" s="37"/>
      <c r="J30" s="38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>
      <c r="A31" s="1"/>
      <c r="B31" s="1"/>
      <c r="C31" s="1"/>
      <c r="D31" s="26" t="s">
        <v>14</v>
      </c>
      <c r="E31" s="36"/>
      <c r="F31" s="36"/>
      <c r="G31" s="37"/>
      <c r="H31" s="37"/>
      <c r="I31" s="37"/>
      <c r="J31" s="38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>
      <c r="A32" s="1"/>
      <c r="B32" s="40"/>
      <c r="C32" s="1"/>
      <c r="D32" s="26" t="s">
        <v>15</v>
      </c>
      <c r="E32" s="36"/>
      <c r="F32" s="36"/>
      <c r="G32" s="37"/>
      <c r="H32" s="37"/>
      <c r="I32" s="37"/>
      <c r="J32" s="4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>
      <c r="A33" s="1"/>
      <c r="B33" s="40"/>
      <c r="C33" s="1"/>
      <c r="D33" s="26" t="s">
        <v>16</v>
      </c>
      <c r="E33" s="36"/>
      <c r="F33" s="36"/>
      <c r="G33" s="37"/>
      <c r="H33" s="37"/>
      <c r="I33" s="37"/>
      <c r="J33" s="4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>
      <c r="A34" s="1"/>
      <c r="B34" s="1"/>
      <c r="C34" s="1"/>
      <c r="D34" s="26" t="s">
        <v>17</v>
      </c>
      <c r="E34" s="36"/>
      <c r="F34" s="36"/>
      <c r="G34" s="42"/>
      <c r="H34" s="42"/>
      <c r="I34" s="42"/>
      <c r="J34" s="4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>
      <c r="A35" s="1"/>
      <c r="B35" s="1"/>
      <c r="C35" s="1"/>
      <c r="D35" s="26" t="s">
        <v>18</v>
      </c>
      <c r="E35" s="43"/>
      <c r="F35" s="36"/>
      <c r="G35" s="42"/>
      <c r="H35" s="42"/>
      <c r="I35" s="42"/>
      <c r="J35" s="4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>
      <c r="A36" s="1"/>
      <c r="B36" s="1"/>
      <c r="C36" s="1"/>
      <c r="D36" s="26" t="s">
        <v>19</v>
      </c>
      <c r="E36" s="43"/>
      <c r="F36" s="43"/>
      <c r="G36" s="42"/>
      <c r="H36" s="42"/>
      <c r="I36" s="42"/>
      <c r="J36" s="4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>
      <c r="A37" s="1"/>
      <c r="B37" s="1"/>
      <c r="C37" s="1"/>
      <c r="D37" s="26" t="s">
        <v>20</v>
      </c>
      <c r="E37" s="43"/>
      <c r="F37" s="43"/>
      <c r="G37" s="42"/>
      <c r="H37" s="42"/>
      <c r="I37" s="42"/>
      <c r="J37" s="4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>
      <c r="A38" s="1"/>
      <c r="B38" s="1"/>
      <c r="C38" s="1"/>
      <c r="D38" s="26" t="s">
        <v>21</v>
      </c>
      <c r="E38" s="43"/>
      <c r="F38" s="43"/>
      <c r="G38" s="42"/>
      <c r="H38" s="42"/>
      <c r="I38" s="42"/>
      <c r="J38" s="4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>
      <c r="A39" s="1"/>
      <c r="B39" s="1"/>
      <c r="C39" s="1"/>
      <c r="D39" s="26" t="s">
        <v>22</v>
      </c>
      <c r="E39" s="43"/>
      <c r="F39" s="43"/>
      <c r="G39" s="42"/>
      <c r="H39" s="42"/>
      <c r="I39" s="42"/>
      <c r="J39" s="4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>
      <c r="A40" s="1"/>
      <c r="B40" s="1"/>
      <c r="C40" s="1"/>
      <c r="D40" s="26" t="s">
        <v>23</v>
      </c>
      <c r="E40" s="43"/>
      <c r="F40" s="43"/>
      <c r="G40" s="42"/>
      <c r="H40" s="42"/>
      <c r="I40" s="42"/>
      <c r="J40" s="4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>
      <c r="A41" s="1"/>
      <c r="B41" s="1"/>
      <c r="C41" s="1"/>
      <c r="D41" s="26" t="s">
        <v>24</v>
      </c>
      <c r="E41" s="43"/>
      <c r="F41" s="43"/>
      <c r="G41" s="42"/>
      <c r="H41" s="42"/>
      <c r="I41" s="42"/>
      <c r="J41" s="4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>
      <c r="A42" s="1"/>
      <c r="B42" s="1"/>
      <c r="C42" s="1"/>
      <c r="D42" s="26" t="s">
        <v>25</v>
      </c>
      <c r="E42" s="43"/>
      <c r="F42" s="43"/>
      <c r="G42" s="42"/>
      <c r="H42" s="42"/>
      <c r="I42" s="42"/>
      <c r="J42" s="4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>
      <c r="A43" s="1"/>
      <c r="B43" s="1"/>
      <c r="C43" s="1"/>
      <c r="D43" s="31" t="s">
        <v>26</v>
      </c>
      <c r="E43" s="32"/>
      <c r="F43" s="32"/>
      <c r="G43" s="33"/>
      <c r="H43" s="33"/>
      <c r="I43" s="33"/>
      <c r="J43" s="34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>
      <c r="A50" s="1"/>
      <c r="B50" s="1"/>
      <c r="C50" s="1"/>
      <c r="D50" s="1"/>
      <c r="E50" s="40"/>
      <c r="F50" s="40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>
      <c r="A51" s="1"/>
      <c r="B51" s="1"/>
      <c r="C51" s="1"/>
      <c r="D51" s="1"/>
      <c r="E51" s="1"/>
      <c r="F51" s="40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</row>
  </sheetData>
  <mergeCells count="4">
    <mergeCell ref="D2:J2"/>
    <mergeCell ref="D3:J3"/>
    <mergeCell ref="D6:J6"/>
    <mergeCell ref="B8:B2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4" max="4" width="8.88"/>
    <col customWidth="1" min="5" max="10" width="21.25"/>
  </cols>
  <sheetData>
    <row r="1">
      <c r="A1" s="8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2"/>
      <c r="B2" s="2"/>
      <c r="C2" s="2"/>
      <c r="D2" s="3" t="s">
        <v>0</v>
      </c>
      <c r="E2" s="4"/>
      <c r="F2" s="4"/>
      <c r="G2" s="4"/>
      <c r="H2" s="4"/>
      <c r="I2" s="4"/>
      <c r="J2" s="5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2"/>
      <c r="B3" s="8"/>
      <c r="C3" s="44"/>
      <c r="D3" s="6" t="s">
        <v>1</v>
      </c>
      <c r="E3" s="4"/>
      <c r="F3" s="4"/>
      <c r="G3" s="4"/>
      <c r="H3" s="4"/>
      <c r="I3" s="4"/>
      <c r="J3" s="5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2"/>
      <c r="B4" s="44"/>
      <c r="C4" s="7"/>
      <c r="D4" s="9"/>
      <c r="E4" s="4"/>
      <c r="F4" s="4"/>
      <c r="G4" s="4"/>
      <c r="H4" s="4"/>
      <c r="I4" s="4"/>
      <c r="J4" s="5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2"/>
      <c r="B5" s="7"/>
      <c r="C5" s="7"/>
      <c r="D5" s="9"/>
      <c r="E5" s="4"/>
      <c r="F5" s="4"/>
      <c r="G5" s="4"/>
      <c r="H5" s="4"/>
      <c r="I5" s="4"/>
      <c r="J5" s="5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>
      <c r="A6" s="2"/>
      <c r="B6" s="7"/>
      <c r="C6" s="7"/>
      <c r="D6" s="9"/>
      <c r="E6" s="4"/>
      <c r="F6" s="4"/>
      <c r="G6" s="4"/>
      <c r="H6" s="4"/>
      <c r="I6" s="4"/>
      <c r="J6" s="5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>
      <c r="A7" s="1"/>
      <c r="B7" s="7"/>
      <c r="C7" s="7"/>
      <c r="D7" s="10"/>
      <c r="F7" s="10"/>
      <c r="G7" s="10"/>
      <c r="H7" s="10"/>
      <c r="I7" s="10"/>
      <c r="J7" s="10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>
      <c r="A8" s="11"/>
      <c r="B8" s="12" t="s">
        <v>2</v>
      </c>
      <c r="C8" s="7"/>
      <c r="D8" s="14" t="s">
        <v>3</v>
      </c>
      <c r="E8" s="15" t="s">
        <v>27</v>
      </c>
      <c r="F8" s="15" t="s">
        <v>28</v>
      </c>
      <c r="G8" s="15" t="s">
        <v>6</v>
      </c>
      <c r="H8" s="15" t="s">
        <v>7</v>
      </c>
      <c r="I8" s="15" t="s">
        <v>8</v>
      </c>
      <c r="J8" s="15" t="s">
        <v>9</v>
      </c>
      <c r="K8" s="16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</row>
    <row r="9">
      <c r="A9" s="1"/>
      <c r="B9" s="17"/>
      <c r="C9" s="18"/>
      <c r="D9" s="19" t="s">
        <v>10</v>
      </c>
      <c r="E9" s="20" t="s">
        <v>11</v>
      </c>
      <c r="F9" s="20" t="s">
        <v>11</v>
      </c>
      <c r="G9" s="21">
        <v>6.47</v>
      </c>
      <c r="H9" s="45"/>
      <c r="I9" s="20"/>
      <c r="J9" s="22"/>
      <c r="K9" s="23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>
      <c r="A10" s="1"/>
      <c r="B10" s="17"/>
      <c r="C10" s="18"/>
      <c r="D10" s="24" t="s">
        <v>12</v>
      </c>
      <c r="E10" s="20">
        <v>4.95</v>
      </c>
      <c r="F10" s="25">
        <v>5.91</v>
      </c>
      <c r="G10" s="21">
        <v>6.77</v>
      </c>
      <c r="H10" s="45"/>
      <c r="I10" s="20"/>
      <c r="J10" s="22"/>
      <c r="K10" s="23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>
      <c r="A11" s="1"/>
      <c r="B11" s="17"/>
      <c r="C11" s="18"/>
      <c r="D11" s="26" t="s">
        <v>13</v>
      </c>
      <c r="E11" s="29">
        <v>5.0</v>
      </c>
      <c r="F11" s="20">
        <v>6.34</v>
      </c>
      <c r="G11" s="21">
        <v>7.03</v>
      </c>
      <c r="H11" s="45"/>
      <c r="I11" s="20"/>
      <c r="J11" s="22"/>
      <c r="K11" s="23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>
      <c r="A12" s="1"/>
      <c r="B12" s="17"/>
      <c r="C12" s="18"/>
      <c r="D12" s="26" t="s">
        <v>14</v>
      </c>
      <c r="E12" s="29">
        <v>5.99</v>
      </c>
      <c r="F12" s="20">
        <v>6.79</v>
      </c>
      <c r="G12" s="21">
        <v>7.3</v>
      </c>
      <c r="H12" s="45"/>
      <c r="I12" s="20"/>
      <c r="J12" s="22"/>
      <c r="K12" s="23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>
      <c r="A13" s="1"/>
      <c r="B13" s="17"/>
      <c r="C13" s="18"/>
      <c r="D13" s="26" t="s">
        <v>15</v>
      </c>
      <c r="E13" s="29">
        <v>6.04</v>
      </c>
      <c r="F13" s="20">
        <v>7.34</v>
      </c>
      <c r="G13" s="21">
        <v>7.6</v>
      </c>
      <c r="H13" s="45"/>
      <c r="I13" s="20"/>
      <c r="J13" s="27"/>
      <c r="K13" s="23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>
      <c r="A14" s="1"/>
      <c r="B14" s="17"/>
      <c r="C14" s="18"/>
      <c r="D14" s="26" t="s">
        <v>16</v>
      </c>
      <c r="E14" s="29">
        <v>6.5200000000000005</v>
      </c>
      <c r="F14" s="20">
        <v>8.35</v>
      </c>
      <c r="G14" s="21">
        <v>8.08</v>
      </c>
      <c r="H14" s="45"/>
      <c r="I14" s="20"/>
      <c r="J14" s="27"/>
      <c r="K14" s="23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>
      <c r="A15" s="1"/>
      <c r="B15" s="17"/>
      <c r="C15" s="18"/>
      <c r="D15" s="26" t="s">
        <v>17</v>
      </c>
      <c r="E15" s="20">
        <v>7.07</v>
      </c>
      <c r="F15" s="20">
        <v>8.96</v>
      </c>
      <c r="G15" s="21">
        <v>8.57</v>
      </c>
      <c r="H15" s="46"/>
      <c r="I15" s="29"/>
      <c r="J15" s="27"/>
      <c r="K15" s="23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>
      <c r="A16" s="1"/>
      <c r="B16" s="17"/>
      <c r="C16" s="18"/>
      <c r="D16" s="26" t="s">
        <v>18</v>
      </c>
      <c r="E16" s="20">
        <v>7.68</v>
      </c>
      <c r="F16" s="20">
        <v>9.87</v>
      </c>
      <c r="G16" s="21">
        <v>8.89</v>
      </c>
      <c r="H16" s="46"/>
      <c r="I16" s="29"/>
      <c r="J16" s="27"/>
      <c r="K16" s="23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>
      <c r="A17" s="1"/>
      <c r="B17" s="17"/>
      <c r="C17" s="18"/>
      <c r="D17" s="26" t="s">
        <v>19</v>
      </c>
      <c r="E17" s="20">
        <v>8.33</v>
      </c>
      <c r="F17" s="20">
        <v>10.67</v>
      </c>
      <c r="G17" s="21">
        <v>9.22</v>
      </c>
      <c r="H17" s="46"/>
      <c r="I17" s="29"/>
      <c r="J17" s="27"/>
      <c r="K17" s="23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>
      <c r="A18" s="1"/>
      <c r="B18" s="17"/>
      <c r="C18" s="18"/>
      <c r="D18" s="24" t="s">
        <v>29</v>
      </c>
      <c r="E18" s="20">
        <v>10.19</v>
      </c>
      <c r="F18" s="20">
        <v>12.63</v>
      </c>
      <c r="G18" s="21">
        <v>9.69</v>
      </c>
      <c r="H18" s="46"/>
      <c r="I18" s="29"/>
      <c r="J18" s="27"/>
      <c r="K18" s="23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>
      <c r="A19" s="1"/>
      <c r="B19" s="17"/>
      <c r="C19" s="18"/>
      <c r="D19" s="24" t="s">
        <v>24</v>
      </c>
      <c r="E19" s="20">
        <v>11.79</v>
      </c>
      <c r="F19" s="20">
        <v>14.45</v>
      </c>
      <c r="G19" s="21">
        <v>9.95</v>
      </c>
      <c r="H19" s="46"/>
      <c r="I19" s="29"/>
      <c r="J19" s="27"/>
      <c r="K19" s="23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>
      <c r="A20" s="1"/>
      <c r="B20" s="17"/>
      <c r="C20" s="18"/>
      <c r="D20" s="24" t="s">
        <v>25</v>
      </c>
      <c r="E20" s="20"/>
      <c r="F20" s="20"/>
      <c r="G20" s="28"/>
      <c r="H20" s="46"/>
      <c r="I20" s="29"/>
      <c r="J20" s="27"/>
      <c r="K20" s="23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>
      <c r="A21" s="1"/>
      <c r="B21" s="30"/>
      <c r="C21" s="18"/>
      <c r="D21" s="31" t="s">
        <v>26</v>
      </c>
      <c r="E21" s="47"/>
      <c r="F21" s="47"/>
      <c r="G21" s="33"/>
      <c r="H21" s="48"/>
      <c r="I21" s="32"/>
      <c r="J21" s="34"/>
      <c r="K21" s="23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>
      <c r="A22" s="1"/>
      <c r="B22" s="1"/>
      <c r="C22" s="1"/>
      <c r="D22" s="35"/>
      <c r="E22" s="35"/>
      <c r="F22" s="35"/>
      <c r="G22" s="35"/>
      <c r="H22" s="35"/>
      <c r="I22" s="35"/>
      <c r="J22" s="35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>
      <c r="A26" s="1"/>
      <c r="B26" s="1"/>
      <c r="C26" s="1"/>
      <c r="D26" s="1"/>
      <c r="E26" s="49"/>
      <c r="F26" s="49"/>
      <c r="G26" s="49"/>
      <c r="H26" s="49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>
      <c r="A27" s="1"/>
      <c r="B27" s="1"/>
      <c r="C27" s="1"/>
      <c r="D27" s="50"/>
      <c r="E27" s="51"/>
      <c r="F27" s="52"/>
      <c r="G27" s="1"/>
      <c r="H27" s="1"/>
      <c r="I27" s="23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>
      <c r="A28" s="1"/>
      <c r="B28" s="1"/>
      <c r="C28" s="1"/>
      <c r="D28" s="50"/>
      <c r="E28" s="51"/>
      <c r="F28" s="52"/>
      <c r="G28" s="1"/>
      <c r="H28" s="1"/>
      <c r="I28" s="23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>
      <c r="A29" s="1"/>
      <c r="B29" s="1"/>
      <c r="C29" s="1"/>
      <c r="D29" s="50"/>
      <c r="E29" s="51"/>
      <c r="F29" s="52"/>
      <c r="G29" s="1"/>
      <c r="H29" s="1"/>
      <c r="I29" s="23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>
      <c r="A30" s="1"/>
      <c r="B30" s="1"/>
      <c r="C30" s="1"/>
      <c r="D30" s="50"/>
      <c r="E30" s="51"/>
      <c r="F30" s="52"/>
      <c r="G30" s="1"/>
      <c r="H30" s="1"/>
      <c r="I30" s="23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>
      <c r="A31" s="1"/>
      <c r="B31" s="1"/>
      <c r="C31" s="1"/>
      <c r="D31" s="50"/>
      <c r="E31" s="51"/>
      <c r="F31" s="52"/>
      <c r="G31" s="1"/>
      <c r="H31" s="1"/>
      <c r="I31" s="23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>
      <c r="A32" s="1"/>
      <c r="B32" s="1"/>
      <c r="C32" s="1"/>
      <c r="D32" s="50"/>
      <c r="E32" s="51"/>
      <c r="F32" s="52"/>
      <c r="G32" s="1"/>
      <c r="H32" s="1"/>
      <c r="I32" s="23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>
      <c r="A33" s="1"/>
      <c r="B33" s="1"/>
      <c r="C33" s="1"/>
      <c r="D33" s="50"/>
      <c r="E33" s="51"/>
      <c r="F33" s="52"/>
      <c r="G33" s="1"/>
      <c r="H33" s="1"/>
      <c r="I33" s="23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>
      <c r="A34" s="1"/>
      <c r="B34" s="1"/>
      <c r="C34" s="1"/>
      <c r="D34" s="50"/>
      <c r="E34" s="51"/>
      <c r="F34" s="1"/>
      <c r="G34" s="1"/>
      <c r="H34" s="1"/>
      <c r="I34" s="23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>
      <c r="A35" s="1"/>
      <c r="B35" s="1"/>
      <c r="C35" s="1"/>
      <c r="D35" s="50"/>
      <c r="E35" s="51"/>
      <c r="F35" s="1"/>
      <c r="G35" s="1"/>
      <c r="H35" s="1"/>
      <c r="I35" s="23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>
      <c r="A36" s="1"/>
      <c r="B36" s="1"/>
      <c r="C36" s="1"/>
      <c r="D36" s="50"/>
      <c r="E36" s="51"/>
      <c r="F36" s="1"/>
      <c r="G36" s="1"/>
      <c r="H36" s="1"/>
      <c r="I36" s="23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>
      <c r="A37" s="1"/>
      <c r="B37" s="1"/>
      <c r="C37" s="1"/>
      <c r="D37" s="50"/>
      <c r="E37" s="51"/>
      <c r="F37" s="1"/>
      <c r="G37" s="1"/>
      <c r="H37" s="1"/>
      <c r="I37" s="23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>
      <c r="A38" s="1"/>
      <c r="B38" s="1"/>
      <c r="C38" s="1"/>
      <c r="D38" s="50"/>
      <c r="E38" s="51"/>
      <c r="F38" s="1"/>
      <c r="G38" s="1"/>
      <c r="H38" s="1"/>
      <c r="I38" s="23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>
      <c r="A39" s="1"/>
      <c r="B39" s="1"/>
      <c r="C39" s="1"/>
      <c r="D39" s="50"/>
      <c r="E39" s="1"/>
      <c r="F39" s="1"/>
      <c r="G39" s="1"/>
      <c r="H39" s="1"/>
      <c r="I39" s="23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>
      <c r="A40" s="1"/>
      <c r="B40" s="1"/>
      <c r="C40" s="1"/>
      <c r="D40" s="50"/>
      <c r="E40" s="1"/>
      <c r="F40" s="1"/>
      <c r="G40" s="1"/>
      <c r="H40" s="1"/>
      <c r="I40" s="23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>
      <c r="A41" s="1"/>
      <c r="B41" s="1"/>
      <c r="C41" s="1"/>
      <c r="D41" s="50"/>
      <c r="E41" s="1"/>
      <c r="F41" s="1"/>
      <c r="G41" s="1"/>
      <c r="H41" s="1"/>
      <c r="I41" s="23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>
      <c r="A42" s="1"/>
      <c r="B42" s="1"/>
      <c r="C42" s="1"/>
      <c r="D42" s="50"/>
      <c r="E42" s="1"/>
      <c r="F42" s="1"/>
      <c r="G42" s="1"/>
      <c r="H42" s="1"/>
      <c r="I42" s="23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>
      <c r="A43" s="1"/>
      <c r="B43" s="1"/>
      <c r="C43" s="1"/>
      <c r="D43" s="50"/>
      <c r="E43" s="1"/>
      <c r="F43" s="1"/>
      <c r="G43" s="1"/>
      <c r="H43" s="1"/>
      <c r="I43" s="23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>
      <c r="A44" s="1"/>
      <c r="B44" s="1"/>
      <c r="C44" s="1"/>
      <c r="D44" s="1"/>
      <c r="E44" s="35"/>
      <c r="F44" s="35"/>
      <c r="G44" s="35"/>
      <c r="H44" s="35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</sheetData>
  <mergeCells count="6">
    <mergeCell ref="D2:J2"/>
    <mergeCell ref="D3:J3"/>
    <mergeCell ref="D4:J4"/>
    <mergeCell ref="D5:J5"/>
    <mergeCell ref="D6:J6"/>
    <mergeCell ref="B8:B21"/>
  </mergeCell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38"/>
    <col customWidth="1" min="2" max="2" width="14.88"/>
    <col customWidth="1" min="5" max="5" width="15.88"/>
  </cols>
  <sheetData>
    <row r="2">
      <c r="B2" s="53" t="s">
        <v>30</v>
      </c>
      <c r="C2" s="54" t="s">
        <v>31</v>
      </c>
      <c r="E2" s="53" t="s">
        <v>30</v>
      </c>
      <c r="F2" s="54" t="s">
        <v>32</v>
      </c>
    </row>
    <row r="3">
      <c r="B3" s="53" t="s">
        <v>33</v>
      </c>
      <c r="C3" s="54">
        <v>6.65</v>
      </c>
      <c r="E3" s="53" t="s">
        <v>34</v>
      </c>
      <c r="F3" s="54">
        <v>5.96</v>
      </c>
    </row>
    <row r="4">
      <c r="B4" s="53" t="s">
        <v>35</v>
      </c>
      <c r="C4" s="54">
        <v>5.96</v>
      </c>
      <c r="E4" s="53" t="s">
        <v>36</v>
      </c>
      <c r="F4" s="54" t="s">
        <v>37</v>
      </c>
    </row>
    <row r="6">
      <c r="E6" s="53" t="s">
        <v>38</v>
      </c>
      <c r="F6" s="55" t="s">
        <v>39</v>
      </c>
      <c r="G6" s="56"/>
    </row>
    <row r="8">
      <c r="E8" s="53" t="s">
        <v>40</v>
      </c>
      <c r="F8" s="54">
        <v>5.69</v>
      </c>
    </row>
    <row r="9">
      <c r="E9" s="57" t="s">
        <v>41</v>
      </c>
      <c r="F9" s="58">
        <v>5.64</v>
      </c>
      <c r="G9" s="53"/>
      <c r="H9" s="53"/>
    </row>
    <row r="10">
      <c r="E10" s="57" t="s">
        <v>42</v>
      </c>
      <c r="F10" s="58">
        <v>5.59</v>
      </c>
      <c r="G10" s="53">
        <v>2026.0</v>
      </c>
      <c r="H10" s="53" t="s">
        <v>43</v>
      </c>
    </row>
    <row r="11">
      <c r="E11" s="57" t="s">
        <v>44</v>
      </c>
      <c r="F11" s="58">
        <v>5.54</v>
      </c>
    </row>
    <row r="12">
      <c r="E12" s="57" t="s">
        <v>45</v>
      </c>
      <c r="F12" s="58">
        <v>5.49</v>
      </c>
    </row>
    <row r="13">
      <c r="E13" s="53" t="s">
        <v>46</v>
      </c>
      <c r="F13" s="54">
        <v>5.44</v>
      </c>
      <c r="G13" s="53"/>
    </row>
    <row r="14">
      <c r="E14" s="53" t="s">
        <v>47</v>
      </c>
      <c r="F14" s="54">
        <v>5.39</v>
      </c>
      <c r="G14" s="53" t="s">
        <v>48</v>
      </c>
    </row>
    <row r="15">
      <c r="B15" s="59">
        <f>5890*0.42</f>
        <v>2473.8</v>
      </c>
      <c r="E15" s="53" t="s">
        <v>49</v>
      </c>
      <c r="F15" s="54">
        <v>5.29</v>
      </c>
    </row>
    <row r="16">
      <c r="B16" s="59">
        <f>27500*0.42</f>
        <v>11550</v>
      </c>
      <c r="E16" s="53" t="s">
        <v>50</v>
      </c>
      <c r="F16" s="54">
        <v>5.19</v>
      </c>
    </row>
    <row r="17">
      <c r="E17" s="53" t="s">
        <v>51</v>
      </c>
      <c r="F17" s="54">
        <v>5.09</v>
      </c>
    </row>
    <row r="18" ht="16.5" customHeight="1">
      <c r="E18" s="53" t="s">
        <v>52</v>
      </c>
      <c r="F18" s="58">
        <v>4.99</v>
      </c>
      <c r="G18" s="53" t="s">
        <v>53</v>
      </c>
    </row>
    <row r="20">
      <c r="B20" s="60" t="s">
        <v>54</v>
      </c>
    </row>
    <row r="21">
      <c r="B21" s="53" t="s">
        <v>55</v>
      </c>
    </row>
    <row r="23">
      <c r="B23" s="60" t="s">
        <v>56</v>
      </c>
    </row>
    <row r="24">
      <c r="B24" s="53" t="s">
        <v>57</v>
      </c>
    </row>
    <row r="25">
      <c r="B25" s="53" t="s">
        <v>58</v>
      </c>
    </row>
    <row r="27">
      <c r="B27" s="60" t="s">
        <v>59</v>
      </c>
    </row>
    <row r="28">
      <c r="B28" s="53" t="s">
        <v>60</v>
      </c>
    </row>
    <row r="29">
      <c r="B29" s="53" t="s">
        <v>61</v>
      </c>
    </row>
    <row r="30">
      <c r="B30" s="53" t="s">
        <v>62</v>
      </c>
    </row>
    <row r="31">
      <c r="B31" s="53" t="s">
        <v>63</v>
      </c>
    </row>
    <row r="32">
      <c r="B32" s="53" t="s">
        <v>64</v>
      </c>
    </row>
  </sheetData>
  <drawing r:id="rId2"/>
  <legacyDrawing r:id="rId3"/>
</worksheet>
</file>