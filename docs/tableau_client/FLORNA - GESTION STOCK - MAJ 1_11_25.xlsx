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STION STOCK" sheetId="1" r:id="rId4"/>
  </sheets>
  <definedNames/>
  <calcPr/>
</workbook>
</file>

<file path=xl/sharedStrings.xml><?xml version="1.0" encoding="utf-8"?>
<sst xmlns="http://schemas.openxmlformats.org/spreadsheetml/2006/main" count="64" uniqueCount="51">
  <si>
    <t>INFORMATIONS PRODUITS</t>
  </si>
  <si>
    <t>RÉASSORT</t>
  </si>
  <si>
    <t>VOLUME VENTE 2025</t>
  </si>
  <si>
    <t>SKU</t>
  </si>
  <si>
    <t>ITEM NAME</t>
  </si>
  <si>
    <t>STOCK REEL
/u</t>
  </si>
  <si>
    <t>STOCK RESTANT
Nb de jour</t>
  </si>
  <si>
    <t>GTIN</t>
  </si>
  <si>
    <t>Taille</t>
  </si>
  <si>
    <t>PRIX</t>
  </si>
  <si>
    <t>AUTRES INFOS</t>
  </si>
  <si>
    <t>LIEN</t>
  </si>
  <si>
    <t>TOTAL RÉASSORTIT</t>
  </si>
  <si>
    <t>À Recom.</t>
  </si>
  <si>
    <t>STOCK THEO</t>
  </si>
  <si>
    <t>J</t>
  </si>
  <si>
    <t>F</t>
  </si>
  <si>
    <t>M</t>
  </si>
  <si>
    <t>A</t>
  </si>
  <si>
    <t>S</t>
  </si>
  <si>
    <t>O</t>
  </si>
  <si>
    <t>N</t>
  </si>
  <si>
    <t>D</t>
  </si>
  <si>
    <t>TOTAL EXPÉDIÉ</t>
  </si>
  <si>
    <t>MOYENNE / JOUR 
SUR LES 3 DERNIERS MOIS</t>
  </si>
  <si>
    <t>Volume de stockage (m3)</t>
  </si>
  <si>
    <t>FLRN-PPOIDS-FBCG</t>
  </si>
  <si>
    <t>Complexe Perte de Poids</t>
  </si>
  <si>
    <t>4409563.001</t>
  </si>
  <si>
    <t>30ML</t>
  </si>
  <si>
    <t>https://maisonfleursdebach.fr/products/retrouver-votre-forme-1-flacon-de-30ml-fleurs-de-bach</t>
  </si>
  <si>
    <t xml:space="preserve"> </t>
  </si>
  <si>
    <t>FLRN-SOMMEI-FBCG</t>
  </si>
  <si>
    <t>Complexe Sommeil</t>
  </si>
  <si>
    <t>4409562.001</t>
  </si>
  <si>
    <t>https://maisonfleursdebach.fr/products/sommeil-retrouve-fleurs-de-bach-30-ml?_pos=1&amp;_sid=eccd7e5e3&amp;_ss=r</t>
  </si>
  <si>
    <t>FLRN-ANXIET-FBCG</t>
  </si>
  <si>
    <t>Complexe Anxiété</t>
  </si>
  <si>
    <t>4409561.001</t>
  </si>
  <si>
    <t>https://maisonfleursdebach.fr/products/peur-et-anxiete-fleurs-de-bach?_pos=1&amp;_sid=c62b3d924&amp;_ss=r</t>
  </si>
  <si>
    <t>FLRN-MENOPA-FBCG</t>
  </si>
  <si>
    <t>Complexe Menopause</t>
  </si>
  <si>
    <t>4409564.001</t>
  </si>
  <si>
    <t>https://maisonfleursdebach.fr/products/menopause-fleurs-de-bach?_pos=1&amp;_sid=ecd87cafd&amp;_ss=r</t>
  </si>
  <si>
    <t>FLRN-COFAIM-FBCG</t>
  </si>
  <si>
    <t>Complexe Coupe Faim</t>
  </si>
  <si>
    <t>4409565.001</t>
  </si>
  <si>
    <t>https://maisonfleursdebach.fr/products/coupe-faim-fleurs-de-bach-30-ml?_pos=1&amp;_sid=127319ae5&amp;_ss=r</t>
  </si>
  <si>
    <t>FLRN-BAGUEM-1UNI</t>
  </si>
  <si>
    <t>Bague Magnétique</t>
  </si>
  <si>
    <t>https://maisonfleursdebach.fr/products/bague-magnetique-perte-de-poids?_pos=1&amp;_psq=BAGUE+MAGNETIQUE&amp;_ss=e&amp;_v=1.0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</si>
</sst>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m-d"/>
    <numFmt numFmtId="166" formatCode="0.0"/>
  </numFmts>
  <fonts count="23">
    <font>
      <sz val="10.0"/>
      <color rgb="FF000000"/>
      <name val="Arial"/>
      <scheme val="minor"/>
    </font>
    <font>
      <color rgb="FF000000"/>
      <name val="Calibri"/>
    </font>
    <font>
      <color theme="1"/>
      <name val="Arial"/>
    </font>
    <font>
      <b/>
      <sz val="14.0"/>
      <color theme="1"/>
      <name val="Arial"/>
    </font>
    <font/>
    <font>
      <b/>
      <sz val="12.0"/>
      <color theme="1"/>
      <name val="Arial"/>
    </font>
    <font>
      <b/>
      <sz val="8.0"/>
      <color theme="1"/>
      <name val="Arial"/>
    </font>
    <font>
      <b/>
      <color theme="1"/>
      <name val="Arial"/>
    </font>
    <font>
      <sz val="8.0"/>
      <color theme="1"/>
      <name val="Arial"/>
    </font>
    <font>
      <sz val="8.0"/>
      <color rgb="FF212B36"/>
      <name val="Arial"/>
    </font>
    <font>
      <b/>
      <sz val="12.0"/>
      <color rgb="FF212B36"/>
      <name val="Arial"/>
    </font>
    <font>
      <b/>
      <sz val="11.0"/>
      <color rgb="FF000000"/>
      <name val="Calibri"/>
    </font>
    <font>
      <b/>
      <color rgb="FF006621"/>
      <name val="-apple-system"/>
    </font>
    <font>
      <b/>
      <color theme="1"/>
      <name val="Arial"/>
      <scheme val="minor"/>
    </font>
    <font>
      <b/>
      <i/>
      <color theme="1"/>
      <name val="Arial"/>
    </font>
    <font>
      <b/>
      <sz val="11.0"/>
      <color rgb="FF212B36"/>
      <name val="-apple-system"/>
    </font>
    <font>
      <i/>
      <sz val="12.0"/>
      <color rgb="FF212B36"/>
      <name val="Arial"/>
    </font>
    <font>
      <b/>
      <u/>
      <color rgb="FF006621"/>
      <name val="-apple-system"/>
    </font>
    <font>
      <color theme="1"/>
      <name val="Arial"/>
      <scheme val="minor"/>
    </font>
    <font>
      <b/>
      <u/>
      <color rgb="FF006621"/>
      <name val="Arial"/>
    </font>
    <font>
      <color rgb="FF006621"/>
      <name val="-apple-system"/>
    </font>
    <font>
      <i/>
      <color theme="1"/>
      <name val="Arial"/>
    </font>
    <font>
      <sz val="11.0"/>
      <color rgb="FF212B36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horizontal="center" vertical="bottom"/>
    </xf>
    <xf borderId="0" fillId="0" fontId="2" numFmtId="1" xfId="0" applyAlignment="1" applyFont="1" applyNumberFormat="1">
      <alignment vertical="bottom"/>
    </xf>
    <xf borderId="1" fillId="2" fontId="3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readingOrder="0" shrinkToFit="0" vertical="center" wrapText="1"/>
    </xf>
    <xf borderId="4" fillId="2" fontId="6" numFmtId="164" xfId="0" applyAlignment="1" applyBorder="1" applyFont="1" applyNumberFormat="1">
      <alignment horizontal="center" readingOrder="0" vertical="center"/>
    </xf>
    <xf borderId="4" fillId="2" fontId="6" numFmtId="165" xfId="0" applyAlignment="1" applyBorder="1" applyFont="1" applyNumberFormat="1">
      <alignment horizontal="center" readingOrder="0" vertical="center"/>
    </xf>
    <xf borderId="4" fillId="2" fontId="5" numFmtId="1" xfId="0" applyAlignment="1" applyBorder="1" applyFont="1" applyNumberFormat="1">
      <alignment horizontal="center" vertical="center"/>
    </xf>
    <xf borderId="4" fillId="2" fontId="2" numFmtId="0" xfId="0" applyAlignment="1" applyBorder="1" applyFont="1">
      <alignment horizontal="center" vertical="center"/>
    </xf>
    <xf borderId="0" fillId="2" fontId="5" numFmtId="0" xfId="0" applyAlignment="1" applyFont="1">
      <alignment horizontal="center" readingOrder="0" vertical="center"/>
    </xf>
    <xf borderId="4" fillId="2" fontId="5" numFmtId="1" xfId="0" applyAlignment="1" applyBorder="1" applyFont="1" applyNumberFormat="1">
      <alignment horizontal="center" readingOrder="0" shrinkToFit="0" vertical="center" wrapText="1"/>
    </xf>
    <xf borderId="0" fillId="2" fontId="5" numFmtId="1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9" numFmtId="1" xfId="0" applyAlignment="1" applyFont="1" applyNumberFormat="1">
      <alignment horizontal="center" readingOrder="0" vertical="bottom"/>
    </xf>
    <xf borderId="0" fillId="0" fontId="10" numFmtId="1" xfId="0" applyAlignment="1" applyFont="1" applyNumberFormat="1">
      <alignment horizontal="center" readingOrder="0" vertical="bottom"/>
    </xf>
    <xf borderId="0" fillId="0" fontId="11" numFmtId="0" xfId="0" applyAlignment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bottom"/>
    </xf>
    <xf borderId="0" fillId="0" fontId="12" numFmtId="0" xfId="0" applyAlignment="1" applyFont="1">
      <alignment horizontal="left" readingOrder="0"/>
    </xf>
    <xf borderId="0" fillId="0" fontId="13" numFmtId="0" xfId="0" applyAlignment="1" applyFont="1">
      <alignment horizontal="center" readingOrder="0"/>
    </xf>
    <xf borderId="0" fillId="0" fontId="14" numFmtId="1" xfId="0" applyAlignment="1" applyFont="1" applyNumberFormat="1">
      <alignment horizontal="center" vertical="bottom"/>
    </xf>
    <xf borderId="0" fillId="0" fontId="7" numFmtId="1" xfId="0" applyAlignment="1" applyFont="1" applyNumberFormat="1">
      <alignment horizontal="center" vertical="bottom"/>
    </xf>
    <xf borderId="0" fillId="0" fontId="15" numFmtId="1" xfId="0" applyAlignment="1" applyFont="1" applyNumberFormat="1">
      <alignment horizontal="center" vertical="bottom"/>
    </xf>
    <xf borderId="0" fillId="3" fontId="13" numFmtId="0" xfId="0" applyAlignment="1" applyFill="1" applyFont="1">
      <alignment horizontal="center" readingOrder="0"/>
    </xf>
    <xf borderId="0" fillId="0" fontId="16" numFmtId="1" xfId="0" applyAlignment="1" applyFont="1" applyNumberFormat="1">
      <alignment horizontal="center" readingOrder="0" vertical="bottom"/>
    </xf>
    <xf borderId="0" fillId="0" fontId="17" numFmtId="0" xfId="0" applyAlignment="1" applyFont="1">
      <alignment horizontal="left" readingOrder="0"/>
    </xf>
    <xf borderId="0" fillId="0" fontId="18" numFmtId="0" xfId="0" applyAlignment="1" applyFont="1">
      <alignment horizontal="center" readingOrder="0"/>
    </xf>
    <xf borderId="0" fillId="0" fontId="7" numFmtId="0" xfId="0" applyAlignment="1" applyFont="1">
      <alignment horizontal="center" vertical="center"/>
    </xf>
    <xf borderId="0" fillId="0" fontId="19" numFmtId="0" xfId="0" applyAlignment="1" applyFont="1">
      <alignment horizontal="left" readingOrder="0"/>
    </xf>
    <xf borderId="0" fillId="0" fontId="7" numFmtId="166" xfId="0" applyAlignment="1" applyFont="1" applyNumberForma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center" vertical="center"/>
    </xf>
    <xf borderId="0" fillId="0" fontId="20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21" numFmtId="1" xfId="0" applyAlignment="1" applyFont="1" applyNumberFormat="1">
      <alignment horizontal="center" vertical="bottom"/>
    </xf>
    <xf borderId="0" fillId="0" fontId="2" numFmtId="1" xfId="0" applyAlignment="1" applyFont="1" applyNumberFormat="1">
      <alignment horizontal="center" vertical="bottom"/>
    </xf>
    <xf borderId="0" fillId="0" fontId="22" numFmtId="1" xfId="0" applyAlignment="1" applyFont="1" applyNumberFormat="1">
      <alignment horizontal="center" vertical="bottom"/>
    </xf>
    <xf borderId="0" fillId="0" fontId="20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21" numFmtId="1" xfId="0" applyAlignment="1" applyFont="1" applyNumberFormat="1">
      <alignment horizontal="center" vertical="bottom"/>
    </xf>
    <xf borderId="0" fillId="0" fontId="2" numFmtId="1" xfId="0" applyAlignment="1" applyFont="1" applyNumberFormat="1">
      <alignment horizontal="center" vertical="bottom"/>
    </xf>
    <xf borderId="0" fillId="0" fontId="22" numFmtId="1" xfId="0" applyAlignment="1" applyFont="1" applyNumberFormat="1">
      <alignment horizontal="center" vertical="bottom"/>
    </xf>
    <xf borderId="0" fillId="0" fontId="18" numFmtId="0" xfId="0" applyAlignment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2" pivot="0" name="GESTION STOCK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:AQ31" displayName="Table_1" name="Table_1" id="1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GESTION STOC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isonfleursdebach.fr/products/retrouver-votre-forme-1-flacon-de-30ml-fleurs-de-bach" TargetMode="External"/><Relationship Id="rId2" Type="http://schemas.openxmlformats.org/officeDocument/2006/relationships/hyperlink" Target="https://maisonfleursdebach.fr/products/sommeil-retrouve-fleurs-de-bach-30-ml?_pos=1&amp;_sid=eccd7e5e3&amp;_ss=r" TargetMode="External"/><Relationship Id="rId3" Type="http://schemas.openxmlformats.org/officeDocument/2006/relationships/hyperlink" Target="https://maisonfleursdebach.fr/products/peur-et-anxiete-fleurs-de-bach?_pos=1&amp;_sid=c62b3d924&amp;_ss=r" TargetMode="External"/><Relationship Id="rId4" Type="http://schemas.openxmlformats.org/officeDocument/2006/relationships/hyperlink" Target="https://maisonfleursdebach.fr/products/menopause-fleurs-de-bach?_pos=1&amp;_sid=ecd87cafd&amp;_ss=r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maisonfleursdebach.fr/products/coupe-faim-fleurs-de-bach-30-ml?_pos=1&amp;_sid=127319ae5&amp;_ss=r" TargetMode="External"/><Relationship Id="rId6" Type="http://schemas.openxmlformats.org/officeDocument/2006/relationships/hyperlink" Target="https://maisonfleursdebach.fr/products/bague-magnetique-perte-de-poids?_pos=1&amp;_psq=BAGUE+MAGNETIQUE&amp;_ss=e&amp;_v=1.0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4.25"/>
    <col customWidth="1" min="2" max="2" width="18.63"/>
    <col customWidth="1" min="3" max="3" width="26.75"/>
    <col customWidth="1" min="4" max="4" width="15.25"/>
    <col customWidth="1" min="5" max="5" width="18.0"/>
    <col customWidth="1" min="6" max="7" width="19.25"/>
    <col customWidth="1" min="8" max="8" width="7.38"/>
    <col customWidth="1" min="9" max="9" width="16.0"/>
    <col customWidth="1" min="10" max="10" width="11.25"/>
    <col customWidth="1" min="11" max="11" width="1.88"/>
    <col customWidth="1" min="12" max="12" width="6.63"/>
    <col customWidth="1" min="13" max="23" width="6.38"/>
    <col customWidth="1" min="24" max="24" width="16.0"/>
    <col customWidth="1" hidden="1" min="25" max="25" width="12.0"/>
    <col customWidth="1" hidden="1" min="26" max="26" width="14.25"/>
    <col customWidth="1" min="27" max="27" width="0.38"/>
    <col customWidth="1" min="28" max="33" width="3.5"/>
    <col customWidth="1" min="34" max="35" width="5.63"/>
    <col customWidth="1" min="36" max="37" width="4.75"/>
    <col customWidth="1" min="38" max="38" width="5.5"/>
    <col customWidth="1" min="39" max="39" width="3.5"/>
    <col customWidth="1" min="40" max="40" width="0.5"/>
    <col customWidth="1" min="41" max="42" width="21.5"/>
    <col customWidth="1" min="43" max="43" width="1.75"/>
  </cols>
  <sheetData>
    <row r="1">
      <c r="A1" s="1"/>
      <c r="B1" s="2"/>
      <c r="C1" s="3"/>
      <c r="D1" s="3"/>
      <c r="E1" s="3"/>
      <c r="F1" s="4" t="s">
        <v>0</v>
      </c>
      <c r="G1" s="5"/>
      <c r="H1" s="5"/>
      <c r="I1" s="5"/>
      <c r="J1" s="6"/>
      <c r="K1" s="7"/>
      <c r="L1" s="4" t="s">
        <v>1</v>
      </c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2"/>
      <c r="Y1" s="2"/>
      <c r="Z1" s="8"/>
      <c r="AA1" s="2"/>
      <c r="AB1" s="9" t="s">
        <v>2</v>
      </c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6"/>
    </row>
    <row r="2">
      <c r="A2" s="10"/>
      <c r="B2" s="11" t="s">
        <v>3</v>
      </c>
      <c r="C2" s="11" t="s">
        <v>4</v>
      </c>
      <c r="D2" s="12" t="s">
        <v>5</v>
      </c>
      <c r="E2" s="13" t="s">
        <v>6</v>
      </c>
      <c r="F2" s="12" t="s">
        <v>7</v>
      </c>
      <c r="G2" s="12" t="s">
        <v>8</v>
      </c>
      <c r="H2" s="12" t="s">
        <v>9</v>
      </c>
      <c r="I2" s="12" t="s">
        <v>10</v>
      </c>
      <c r="J2" s="12" t="s">
        <v>11</v>
      </c>
      <c r="K2" s="12"/>
      <c r="L2" s="14">
        <v>45804.0</v>
      </c>
      <c r="M2" s="14">
        <v>45831.0</v>
      </c>
      <c r="N2" s="14">
        <v>45853.0</v>
      </c>
      <c r="O2" s="14">
        <v>45883.0</v>
      </c>
      <c r="P2" s="14">
        <v>45925.0</v>
      </c>
      <c r="Q2" s="14">
        <v>45934.0</v>
      </c>
      <c r="R2" s="14">
        <v>45964.0</v>
      </c>
      <c r="S2" s="14">
        <v>45975.0</v>
      </c>
      <c r="T2" s="14">
        <v>45989.0</v>
      </c>
      <c r="U2" s="14">
        <v>46009.0</v>
      </c>
      <c r="V2" s="14"/>
      <c r="W2" s="15"/>
      <c r="X2" s="13" t="s">
        <v>12</v>
      </c>
      <c r="Y2" s="11" t="s">
        <v>13</v>
      </c>
      <c r="Z2" s="16" t="s">
        <v>14</v>
      </c>
      <c r="AA2" s="17"/>
      <c r="AB2" s="12" t="s">
        <v>15</v>
      </c>
      <c r="AC2" s="12" t="s">
        <v>16</v>
      </c>
      <c r="AD2" s="12" t="s">
        <v>17</v>
      </c>
      <c r="AE2" s="12" t="s">
        <v>18</v>
      </c>
      <c r="AF2" s="12" t="s">
        <v>17</v>
      </c>
      <c r="AG2" s="12" t="s">
        <v>15</v>
      </c>
      <c r="AH2" s="12" t="s">
        <v>15</v>
      </c>
      <c r="AI2" s="12" t="s">
        <v>18</v>
      </c>
      <c r="AJ2" s="12" t="s">
        <v>19</v>
      </c>
      <c r="AK2" s="12" t="s">
        <v>20</v>
      </c>
      <c r="AL2" s="12" t="s">
        <v>21</v>
      </c>
      <c r="AM2" s="12" t="s">
        <v>22</v>
      </c>
      <c r="AN2" s="18"/>
      <c r="AO2" s="19" t="s">
        <v>23</v>
      </c>
      <c r="AP2" s="19" t="s">
        <v>24</v>
      </c>
      <c r="AQ2" s="20"/>
    </row>
    <row r="3">
      <c r="A3" s="2"/>
      <c r="B3" s="2"/>
      <c r="C3" s="21"/>
      <c r="D3" s="22"/>
      <c r="E3" s="22"/>
      <c r="F3" s="2"/>
      <c r="G3" s="10"/>
      <c r="H3" s="10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8"/>
      <c r="AA3" s="2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"/>
      <c r="AP3" s="2"/>
      <c r="AQ3" s="2"/>
    </row>
    <row r="4" ht="17.25" customHeight="1">
      <c r="A4" s="24"/>
      <c r="B4" s="25"/>
      <c r="C4" s="26" t="s">
        <v>25</v>
      </c>
      <c r="D4" s="27">
        <f>SUM(D5:D31)*0.000118084878</f>
        <v>54.72301225</v>
      </c>
      <c r="E4" s="28"/>
      <c r="F4" s="29"/>
      <c r="G4" s="30"/>
      <c r="H4" s="30"/>
      <c r="I4" s="31"/>
      <c r="J4" s="32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  <c r="Y4" s="35"/>
      <c r="Z4" s="35"/>
      <c r="AA4" s="36"/>
      <c r="AB4" s="37" t="str">
        <f>IFERROR(VLOOKUP(B4:B6,#REF!,2,FALSE),"")</f>
        <v/>
      </c>
      <c r="AC4" s="37" t="str">
        <f>IFERROR(VLOOKUP(B4:B6,#REF!,2,FALSE),"")</f>
        <v/>
      </c>
      <c r="AD4" s="37" t="str">
        <f>IFERROR(VLOOKUP(B4:B6,#REF!,2,FALSE),"")</f>
        <v/>
      </c>
      <c r="AE4" s="37" t="str">
        <f>IFERROR(VLOOKUP(B4:B6,#REF!,2,FALSE),"")</f>
        <v/>
      </c>
      <c r="AF4" s="37" t="str">
        <f>IFERROR(VLOOKUP(B4:B6,#REF!,2,FALSE),"")</f>
        <v/>
      </c>
      <c r="AG4" s="37"/>
      <c r="AH4" s="33"/>
      <c r="AI4" s="33" t="str">
        <f>IFERROR(VLOOKUP(B4:B6,#REF!,2,FALSE),"")</f>
        <v/>
      </c>
      <c r="AJ4" s="33" t="str">
        <f>IFERROR(VLOOKUP(B4:B6,#REF!,2,FALSE),"")</f>
        <v/>
      </c>
      <c r="AK4" s="33" t="str">
        <f>IFERROR(VLOOKUP(B4:B6,#REF!,2,FALSE),"")</f>
        <v/>
      </c>
      <c r="AL4" s="33" t="str">
        <f>IFERROR(VLOOKUP(B4:B6,#REF!,2,FALSE),"")</f>
        <v/>
      </c>
      <c r="AM4" s="33" t="str">
        <f>IFERROR(VLOOKUP(B4:B6,#REF!,2,FALSE),"")</f>
        <v/>
      </c>
      <c r="AN4" s="33"/>
      <c r="AO4" s="35"/>
      <c r="AP4" s="35"/>
      <c r="AQ4" s="35"/>
    </row>
    <row r="5" ht="17.25" customHeight="1">
      <c r="A5" s="24"/>
      <c r="B5" s="25" t="s">
        <v>26</v>
      </c>
      <c r="C5" s="25" t="s">
        <v>27</v>
      </c>
      <c r="D5" s="28">
        <f t="shared" ref="D5:D10" si="1">X5-AO5</f>
        <v>266429</v>
      </c>
      <c r="E5" s="38">
        <f t="shared" ref="E5:E10" si="2">D5/AP5</f>
        <v>704.9007849</v>
      </c>
      <c r="F5" s="29" t="s">
        <v>28</v>
      </c>
      <c r="G5" s="30" t="s">
        <v>29</v>
      </c>
      <c r="H5" s="30"/>
      <c r="I5" s="31"/>
      <c r="J5" s="39" t="s">
        <v>30</v>
      </c>
      <c r="K5" s="33" t="s">
        <v>31</v>
      </c>
      <c r="L5" s="40">
        <v>19495.0</v>
      </c>
      <c r="M5" s="40">
        <v>25655.0</v>
      </c>
      <c r="N5" s="40"/>
      <c r="O5" s="40"/>
      <c r="P5" s="40">
        <v>77980.0</v>
      </c>
      <c r="Q5" s="40"/>
      <c r="R5" s="40">
        <v>52640.0</v>
      </c>
      <c r="S5" s="33"/>
      <c r="T5" s="40">
        <v>64400.0</v>
      </c>
      <c r="U5" s="33">
        <v>88445.0</v>
      </c>
      <c r="V5" s="33"/>
      <c r="W5" s="33"/>
      <c r="X5" s="34">
        <f t="shared" ref="X5:X10" si="3">SUM(K5:W5)</f>
        <v>328615</v>
      </c>
      <c r="Y5" s="35">
        <f t="shared" ref="Y5:Y10" si="4">Z5-D5-X5</f>
        <v>-592776.2</v>
      </c>
      <c r="Z5" s="35">
        <f t="shared" ref="Z5:Z10" si="5">AP5*6</f>
        <v>2267.8</v>
      </c>
      <c r="AA5" s="36"/>
      <c r="AB5" s="37"/>
      <c r="AC5" s="37"/>
      <c r="AD5" s="37"/>
      <c r="AE5" s="37"/>
      <c r="AF5" s="37"/>
      <c r="AG5" s="37"/>
      <c r="AH5" s="40">
        <f>1555*1+2*2309+1087*3+140*6</f>
        <v>10274</v>
      </c>
      <c r="AI5" s="40">
        <f>2208*1+587*3+273*3+3290*2+1545*3+257*6+41*1+4*2+11*3+268*1</f>
        <v>17895</v>
      </c>
      <c r="AJ5" s="40">
        <f>1017*1+91*3+303*3+1786*2+927*3+79*6+104*1+22*2+18*3+91*1</f>
        <v>9319</v>
      </c>
      <c r="AK5" s="40">
        <f>16+381+1167+591+3780+3123+414+547+56+45+6+833+282+378+576</f>
        <v>12195</v>
      </c>
      <c r="AL5" s="40">
        <f>1979+21+669+951+3354+2946+630+735+272+402+544</f>
        <v>12503</v>
      </c>
      <c r="AM5" s="33"/>
      <c r="AN5" s="33"/>
      <c r="AO5" s="34">
        <f t="shared" ref="AO5:AO10" si="6">SUM(AH5:AM5)</f>
        <v>62186</v>
      </c>
      <c r="AP5" s="35">
        <f t="shared" ref="AP5:AP10" si="7">SUM(AJ5:AL5)/90</f>
        <v>377.9666667</v>
      </c>
      <c r="AQ5" s="35"/>
    </row>
    <row r="6" ht="17.25" customHeight="1">
      <c r="A6" s="24"/>
      <c r="B6" s="25" t="s">
        <v>32</v>
      </c>
      <c r="C6" s="25" t="s">
        <v>33</v>
      </c>
      <c r="D6" s="28">
        <f t="shared" si="1"/>
        <v>29248</v>
      </c>
      <c r="E6" s="38">
        <f t="shared" si="2"/>
        <v>347.3175881</v>
      </c>
      <c r="F6" s="29" t="s">
        <v>34</v>
      </c>
      <c r="G6" s="30" t="s">
        <v>29</v>
      </c>
      <c r="H6" s="41"/>
      <c r="I6" s="31"/>
      <c r="J6" s="39" t="s">
        <v>35</v>
      </c>
      <c r="K6" s="33" t="s">
        <v>31</v>
      </c>
      <c r="L6" s="40">
        <v>1400.0</v>
      </c>
      <c r="M6" s="40"/>
      <c r="N6" s="40">
        <v>4655.0</v>
      </c>
      <c r="O6" s="40"/>
      <c r="P6" s="40"/>
      <c r="Q6" s="40"/>
      <c r="R6" s="40">
        <v>12740.0</v>
      </c>
      <c r="S6" s="33"/>
      <c r="T6" s="40">
        <v>6965.0</v>
      </c>
      <c r="U6" s="33">
        <v>12145.0</v>
      </c>
      <c r="V6" s="33"/>
      <c r="W6" s="33"/>
      <c r="X6" s="34">
        <f t="shared" si="3"/>
        <v>37905</v>
      </c>
      <c r="Y6" s="35">
        <f t="shared" si="4"/>
        <v>-66647.73333</v>
      </c>
      <c r="Z6" s="35">
        <f t="shared" si="5"/>
        <v>505.2666667</v>
      </c>
      <c r="AA6" s="36"/>
      <c r="AB6" s="37" t="str">
        <f>IFERROR(VLOOKUP(B6:B36,#REF!,2,FALSE),"")</f>
        <v/>
      </c>
      <c r="AC6" s="37" t="str">
        <f>IFERROR(VLOOKUP(B6:B36,#REF!,2,FALSE),"")</f>
        <v/>
      </c>
      <c r="AD6" s="37" t="str">
        <f>IFERROR(VLOOKUP(B6:B36,#REF!,2,FALSE),"")</f>
        <v/>
      </c>
      <c r="AE6" s="37" t="str">
        <f>IFERROR(VLOOKUP(B6:B36,#REF!,2,FALSE),"")</f>
        <v/>
      </c>
      <c r="AF6" s="37" t="str">
        <f>IFERROR(VLOOKUP(B6:B36,#REF!,2,FALSE),"")</f>
        <v/>
      </c>
      <c r="AG6" s="37"/>
      <c r="AH6" s="40">
        <v>1.0</v>
      </c>
      <c r="AI6" s="40">
        <f>229*1+99*2+100*3+41*1+4*2+11*3+268*1</f>
        <v>1077</v>
      </c>
      <c r="AJ6" s="40">
        <f>201*1+92*2+113*3+104*1+22*2+18*3+91*1</f>
        <v>1017</v>
      </c>
      <c r="AK6" s="40">
        <f>16+332+340+627+833+282+378+576</f>
        <v>3384</v>
      </c>
      <c r="AL6" s="40">
        <f>321+21+388+495+735+272+402+544</f>
        <v>3178</v>
      </c>
      <c r="AM6" s="33" t="str">
        <f>IFERROR(VLOOKUP(B6:B36,#REF!,2,FALSE),"")</f>
        <v/>
      </c>
      <c r="AN6" s="33"/>
      <c r="AO6" s="34">
        <f t="shared" si="6"/>
        <v>8657</v>
      </c>
      <c r="AP6" s="35">
        <f t="shared" si="7"/>
        <v>84.21111111</v>
      </c>
      <c r="AQ6" s="35"/>
    </row>
    <row r="7" ht="17.25" customHeight="1">
      <c r="A7" s="24"/>
      <c r="B7" s="25" t="s">
        <v>36</v>
      </c>
      <c r="C7" s="25" t="s">
        <v>37</v>
      </c>
      <c r="D7" s="28">
        <f t="shared" si="1"/>
        <v>10433</v>
      </c>
      <c r="E7" s="38">
        <f t="shared" si="2"/>
        <v>145.6670804</v>
      </c>
      <c r="F7" s="30" t="s">
        <v>38</v>
      </c>
      <c r="G7" s="30" t="s">
        <v>29</v>
      </c>
      <c r="H7" s="41"/>
      <c r="I7" s="31"/>
      <c r="J7" s="39" t="s">
        <v>39</v>
      </c>
      <c r="K7" s="33" t="s">
        <v>31</v>
      </c>
      <c r="L7" s="40"/>
      <c r="M7" s="40"/>
      <c r="N7" s="40">
        <v>10885.0</v>
      </c>
      <c r="O7" s="40"/>
      <c r="P7" s="40"/>
      <c r="Q7" s="40"/>
      <c r="R7" s="40"/>
      <c r="S7" s="33"/>
      <c r="T7" s="40">
        <v>4270.0</v>
      </c>
      <c r="U7" s="33">
        <v>4655.0</v>
      </c>
      <c r="V7" s="33"/>
      <c r="W7" s="33"/>
      <c r="X7" s="34">
        <f t="shared" si="3"/>
        <v>19810</v>
      </c>
      <c r="Y7" s="35">
        <f t="shared" si="4"/>
        <v>-29813.26667</v>
      </c>
      <c r="Z7" s="35">
        <f t="shared" si="5"/>
        <v>429.7333333</v>
      </c>
      <c r="AA7" s="36"/>
      <c r="AB7" s="37"/>
      <c r="AC7" s="37"/>
      <c r="AD7" s="37"/>
      <c r="AE7" s="37"/>
      <c r="AF7" s="37"/>
      <c r="AG7" s="37"/>
      <c r="AH7" s="40">
        <v>1.0</v>
      </c>
      <c r="AI7" s="40">
        <f>833*1+414*2+423*3</f>
        <v>2930</v>
      </c>
      <c r="AJ7" s="40">
        <f>708*1+383*2+385*3</f>
        <v>2629</v>
      </c>
      <c r="AK7" s="40">
        <f>16+474+526+792</f>
        <v>1808</v>
      </c>
      <c r="AL7" s="40">
        <f>520+556+912+21</f>
        <v>2009</v>
      </c>
      <c r="AM7" s="33"/>
      <c r="AN7" s="33"/>
      <c r="AO7" s="34">
        <f t="shared" si="6"/>
        <v>9377</v>
      </c>
      <c r="AP7" s="35">
        <f t="shared" si="7"/>
        <v>71.62222222</v>
      </c>
      <c r="AQ7" s="35"/>
    </row>
    <row r="8" ht="17.25" customHeight="1">
      <c r="A8" s="24"/>
      <c r="B8" s="25" t="s">
        <v>40</v>
      </c>
      <c r="C8" s="25" t="s">
        <v>41</v>
      </c>
      <c r="D8" s="28">
        <f t="shared" si="1"/>
        <v>100961</v>
      </c>
      <c r="E8" s="38">
        <f t="shared" si="2"/>
        <v>1143.817976</v>
      </c>
      <c r="F8" s="30" t="s">
        <v>42</v>
      </c>
      <c r="G8" s="30" t="s">
        <v>29</v>
      </c>
      <c r="H8" s="41"/>
      <c r="I8" s="31"/>
      <c r="J8" s="42" t="s">
        <v>43</v>
      </c>
      <c r="K8" s="33" t="s">
        <v>31</v>
      </c>
      <c r="L8" s="40"/>
      <c r="M8" s="40"/>
      <c r="N8" s="40">
        <v>18620.0</v>
      </c>
      <c r="O8" s="40"/>
      <c r="P8" s="40"/>
      <c r="Q8" s="40">
        <v>56630.0</v>
      </c>
      <c r="R8" s="40"/>
      <c r="S8" s="33"/>
      <c r="T8" s="40">
        <v>17045.0</v>
      </c>
      <c r="U8" s="33">
        <v>17325.0</v>
      </c>
      <c r="V8" s="33"/>
      <c r="W8" s="33"/>
      <c r="X8" s="34">
        <f t="shared" si="3"/>
        <v>109620</v>
      </c>
      <c r="Y8" s="35">
        <f t="shared" si="4"/>
        <v>-210051.4</v>
      </c>
      <c r="Z8" s="35">
        <f t="shared" si="5"/>
        <v>529.6</v>
      </c>
      <c r="AA8" s="36"/>
      <c r="AB8" s="37"/>
      <c r="AC8" s="37"/>
      <c r="AD8" s="37"/>
      <c r="AE8" s="37"/>
      <c r="AF8" s="37"/>
      <c r="AG8" s="37"/>
      <c r="AH8" s="40"/>
      <c r="AI8" s="40">
        <f>179*1+121*2+67*2+13*6+41*1+4*2+11*3</f>
        <v>715</v>
      </c>
      <c r="AJ8" s="40">
        <f>122*1+67*2+52*3+11*6+104*1+22*2</f>
        <v>626</v>
      </c>
      <c r="AK8" s="40">
        <f>16+179+184+276+36+833+282+378</f>
        <v>2184</v>
      </c>
      <c r="AL8" s="40">
        <f>684+21+1970+804+246+735+272+402</f>
        <v>5134</v>
      </c>
      <c r="AM8" s="33"/>
      <c r="AN8" s="33"/>
      <c r="AO8" s="34">
        <f t="shared" si="6"/>
        <v>8659</v>
      </c>
      <c r="AP8" s="35">
        <f t="shared" si="7"/>
        <v>88.26666667</v>
      </c>
      <c r="AQ8" s="35"/>
    </row>
    <row r="9" ht="17.25" customHeight="1">
      <c r="A9" s="24"/>
      <c r="B9" s="25" t="s">
        <v>44</v>
      </c>
      <c r="C9" s="25" t="s">
        <v>45</v>
      </c>
      <c r="D9" s="28">
        <f t="shared" si="1"/>
        <v>56154</v>
      </c>
      <c r="E9" s="38">
        <f t="shared" si="2"/>
        <v>1490.814159</v>
      </c>
      <c r="F9" s="30" t="s">
        <v>46</v>
      </c>
      <c r="G9" s="30" t="s">
        <v>29</v>
      </c>
      <c r="H9" s="41"/>
      <c r="I9" s="31"/>
      <c r="J9" s="39" t="s">
        <v>47</v>
      </c>
      <c r="K9" s="33" t="s">
        <v>31</v>
      </c>
      <c r="L9" s="40"/>
      <c r="M9" s="40"/>
      <c r="N9" s="40">
        <v>9310.0</v>
      </c>
      <c r="O9" s="40"/>
      <c r="P9" s="40"/>
      <c r="Q9" s="40">
        <v>23695.0</v>
      </c>
      <c r="R9" s="40"/>
      <c r="S9" s="33"/>
      <c r="T9" s="40">
        <v>4655.0</v>
      </c>
      <c r="U9" s="33">
        <v>24220.0</v>
      </c>
      <c r="V9" s="33"/>
      <c r="W9" s="33"/>
      <c r="X9" s="34">
        <f t="shared" si="3"/>
        <v>61880</v>
      </c>
      <c r="Y9" s="35">
        <f t="shared" si="4"/>
        <v>-117808</v>
      </c>
      <c r="Z9" s="35">
        <f t="shared" si="5"/>
        <v>226</v>
      </c>
      <c r="AA9" s="36"/>
      <c r="AB9" s="37"/>
      <c r="AC9" s="37"/>
      <c r="AD9" s="37"/>
      <c r="AE9" s="37"/>
      <c r="AF9" s="37"/>
      <c r="AG9" s="37"/>
      <c r="AH9" s="40"/>
      <c r="AI9" s="40">
        <f>156*1+32*2+29*3+587*3+268*1</f>
        <v>2336</v>
      </c>
      <c r="AJ9" s="40">
        <f>78*1+18*2+17*3+91*3+18*3+91*1</f>
        <v>583</v>
      </c>
      <c r="AK9" s="40">
        <f>16+90+50+84+381+576</f>
        <v>1197</v>
      </c>
      <c r="AL9" s="40">
        <f>155+86+135+21+669+544</f>
        <v>1610</v>
      </c>
      <c r="AM9" s="33"/>
      <c r="AN9" s="33"/>
      <c r="AO9" s="34">
        <f t="shared" si="6"/>
        <v>5726</v>
      </c>
      <c r="AP9" s="35">
        <f t="shared" si="7"/>
        <v>37.66666667</v>
      </c>
      <c r="AQ9" s="35"/>
    </row>
    <row r="10" ht="17.25" customHeight="1">
      <c r="A10" s="24"/>
      <c r="B10" s="25" t="s">
        <v>48</v>
      </c>
      <c r="C10" s="25" t="s">
        <v>49</v>
      </c>
      <c r="D10" s="28">
        <f t="shared" si="1"/>
        <v>196</v>
      </c>
      <c r="E10" s="38">
        <f t="shared" si="2"/>
        <v>99.66101695</v>
      </c>
      <c r="F10" s="41"/>
      <c r="G10" s="41"/>
      <c r="H10" s="41"/>
      <c r="I10" s="31"/>
      <c r="J10" s="39" t="s">
        <v>50</v>
      </c>
      <c r="K10" s="33" t="s">
        <v>31</v>
      </c>
      <c r="L10" s="40"/>
      <c r="M10" s="40"/>
      <c r="N10" s="40"/>
      <c r="O10" s="40">
        <v>200.0</v>
      </c>
      <c r="P10" s="40"/>
      <c r="Q10" s="40"/>
      <c r="R10" s="40"/>
      <c r="S10" s="40">
        <v>200.0</v>
      </c>
      <c r="T10" s="33"/>
      <c r="U10" s="33"/>
      <c r="V10" s="33"/>
      <c r="W10" s="33"/>
      <c r="X10" s="34">
        <f t="shared" si="3"/>
        <v>400</v>
      </c>
      <c r="Y10" s="35">
        <f t="shared" si="4"/>
        <v>-584.2</v>
      </c>
      <c r="Z10" s="35">
        <f t="shared" si="5"/>
        <v>11.8</v>
      </c>
      <c r="AA10" s="36"/>
      <c r="AB10" s="37"/>
      <c r="AC10" s="37"/>
      <c r="AD10" s="37"/>
      <c r="AE10" s="37"/>
      <c r="AF10" s="37"/>
      <c r="AG10" s="37"/>
      <c r="AH10" s="40"/>
      <c r="AI10" s="40">
        <v>27.0</v>
      </c>
      <c r="AJ10" s="40">
        <v>17.0</v>
      </c>
      <c r="AK10" s="40">
        <f>52+16</f>
        <v>68</v>
      </c>
      <c r="AL10" s="40">
        <f>92</f>
        <v>92</v>
      </c>
      <c r="AM10" s="33"/>
      <c r="AN10" s="33"/>
      <c r="AO10" s="34">
        <f t="shared" si="6"/>
        <v>204</v>
      </c>
      <c r="AP10" s="35">
        <f t="shared" si="7"/>
        <v>1.966666667</v>
      </c>
      <c r="AQ10" s="43"/>
    </row>
    <row r="11" ht="17.25" customHeight="1">
      <c r="A11" s="24"/>
      <c r="B11" s="31"/>
      <c r="C11" s="25"/>
      <c r="D11" s="28"/>
      <c r="E11" s="28"/>
      <c r="F11" s="41"/>
      <c r="G11" s="41"/>
      <c r="H11" s="41"/>
      <c r="I11" s="31"/>
      <c r="J11" s="32"/>
      <c r="K11" s="33"/>
      <c r="L11" s="40"/>
      <c r="M11" s="40"/>
      <c r="N11" s="40"/>
      <c r="O11" s="40"/>
      <c r="P11" s="40"/>
      <c r="Q11" s="40"/>
      <c r="R11" s="33"/>
      <c r="S11" s="33"/>
      <c r="T11" s="33"/>
      <c r="U11" s="33"/>
      <c r="V11" s="33"/>
      <c r="W11" s="33"/>
      <c r="X11" s="34"/>
      <c r="Y11" s="35"/>
      <c r="Z11" s="35"/>
      <c r="AA11" s="36"/>
      <c r="AB11" s="37"/>
      <c r="AC11" s="37"/>
      <c r="AD11" s="37"/>
      <c r="AE11" s="37"/>
      <c r="AF11" s="37"/>
      <c r="AG11" s="37"/>
      <c r="AH11" s="33"/>
      <c r="AI11" s="33"/>
      <c r="AJ11" s="33"/>
      <c r="AK11" s="33"/>
      <c r="AL11" s="33"/>
      <c r="AM11" s="33"/>
      <c r="AN11" s="33"/>
      <c r="AO11" s="35"/>
      <c r="AP11" s="35"/>
      <c r="AQ11" s="35"/>
    </row>
    <row r="12" ht="17.25" customHeight="1">
      <c r="A12" s="24"/>
      <c r="B12" s="31"/>
      <c r="C12" s="25"/>
      <c r="D12" s="28"/>
      <c r="E12" s="28"/>
      <c r="F12" s="41"/>
      <c r="G12" s="41"/>
      <c r="H12" s="41"/>
      <c r="I12" s="31"/>
      <c r="J12" s="32"/>
      <c r="K12" s="33"/>
      <c r="L12" s="40"/>
      <c r="M12" s="40"/>
      <c r="N12" s="40"/>
      <c r="O12" s="40"/>
      <c r="P12" s="40"/>
      <c r="Q12" s="40"/>
      <c r="R12" s="33"/>
      <c r="S12" s="33"/>
      <c r="T12" s="33"/>
      <c r="U12" s="33"/>
      <c r="V12" s="33"/>
      <c r="W12" s="33"/>
      <c r="X12" s="34"/>
      <c r="Y12" s="35"/>
      <c r="Z12" s="35"/>
      <c r="AA12" s="36"/>
      <c r="AB12" s="37"/>
      <c r="AC12" s="37"/>
      <c r="AD12" s="37"/>
      <c r="AE12" s="37"/>
      <c r="AF12" s="37"/>
      <c r="AG12" s="37"/>
      <c r="AH12" s="33"/>
      <c r="AI12" s="33"/>
      <c r="AJ12" s="33"/>
      <c r="AK12" s="33"/>
      <c r="AL12" s="33"/>
      <c r="AM12" s="33"/>
      <c r="AN12" s="33"/>
      <c r="AO12" s="33"/>
      <c r="AP12" s="33"/>
      <c r="AQ12" s="33"/>
    </row>
    <row r="13" ht="17.25" customHeight="1">
      <c r="A13" s="24"/>
      <c r="B13" s="31"/>
      <c r="C13" s="25"/>
      <c r="D13" s="28"/>
      <c r="E13" s="28"/>
      <c r="F13" s="41"/>
      <c r="G13" s="41"/>
      <c r="H13" s="41"/>
      <c r="I13" s="31"/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4"/>
      <c r="Y13" s="35"/>
      <c r="Z13" s="35"/>
      <c r="AA13" s="36"/>
      <c r="AB13" s="37"/>
      <c r="AC13" s="37"/>
      <c r="AD13" s="37"/>
      <c r="AE13" s="37"/>
      <c r="AF13" s="37"/>
      <c r="AG13" s="37"/>
      <c r="AH13" s="33"/>
      <c r="AI13" s="33"/>
      <c r="AJ13" s="33"/>
      <c r="AK13" s="33"/>
      <c r="AL13" s="33"/>
      <c r="AM13" s="33"/>
      <c r="AN13" s="33"/>
      <c r="AO13" s="33"/>
      <c r="AP13" s="33"/>
      <c r="AQ13" s="33"/>
    </row>
    <row r="14" ht="17.25" customHeight="1">
      <c r="A14" s="24"/>
      <c r="B14" s="31"/>
      <c r="C14" s="25"/>
      <c r="D14" s="28"/>
      <c r="E14" s="28"/>
      <c r="F14" s="41"/>
      <c r="G14" s="41"/>
      <c r="H14" s="41"/>
      <c r="I14" s="31"/>
      <c r="J14" s="32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4"/>
      <c r="Y14" s="35"/>
      <c r="Z14" s="35"/>
      <c r="AA14" s="36"/>
      <c r="AB14" s="37"/>
      <c r="AC14" s="37"/>
      <c r="AD14" s="37"/>
      <c r="AE14" s="37"/>
      <c r="AF14" s="37"/>
      <c r="AG14" s="37"/>
      <c r="AH14" s="33"/>
      <c r="AI14" s="33"/>
      <c r="AJ14" s="33"/>
      <c r="AK14" s="33"/>
      <c r="AL14" s="33"/>
      <c r="AM14" s="33"/>
      <c r="AN14" s="33"/>
      <c r="AO14" s="33"/>
      <c r="AP14" s="33"/>
      <c r="AQ14" s="33"/>
    </row>
    <row r="15" ht="17.25" customHeight="1">
      <c r="A15" s="24"/>
      <c r="B15" s="31"/>
      <c r="C15" s="25"/>
      <c r="D15" s="28"/>
      <c r="E15" s="28"/>
      <c r="F15" s="41"/>
      <c r="G15" s="41"/>
      <c r="H15" s="41"/>
      <c r="I15" s="31"/>
      <c r="J15" s="32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4"/>
      <c r="Y15" s="35"/>
      <c r="Z15" s="35"/>
      <c r="AA15" s="36"/>
      <c r="AB15" s="37"/>
      <c r="AC15" s="37"/>
      <c r="AD15" s="37"/>
      <c r="AE15" s="37"/>
      <c r="AF15" s="37"/>
      <c r="AG15" s="37"/>
      <c r="AH15" s="33"/>
      <c r="AI15" s="33"/>
      <c r="AJ15" s="33"/>
      <c r="AK15" s="33"/>
      <c r="AL15" s="33"/>
      <c r="AM15" s="33"/>
      <c r="AN15" s="33"/>
      <c r="AO15" s="33"/>
      <c r="AP15" s="33"/>
      <c r="AQ15" s="33"/>
    </row>
    <row r="16" ht="17.25" customHeight="1">
      <c r="A16" s="24"/>
      <c r="B16" s="31"/>
      <c r="C16" s="25"/>
      <c r="D16" s="28"/>
      <c r="E16" s="28"/>
      <c r="F16" s="41"/>
      <c r="G16" s="41"/>
      <c r="H16" s="41"/>
      <c r="I16" s="31"/>
      <c r="J16" s="3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4"/>
      <c r="Y16" s="35"/>
      <c r="Z16" s="35"/>
      <c r="AA16" s="36"/>
      <c r="AB16" s="37"/>
      <c r="AC16" s="37"/>
      <c r="AD16" s="37"/>
      <c r="AE16" s="37"/>
      <c r="AF16" s="37"/>
      <c r="AG16" s="37"/>
      <c r="AH16" s="33"/>
      <c r="AI16" s="33"/>
      <c r="AJ16" s="33"/>
      <c r="AK16" s="33"/>
      <c r="AL16" s="33"/>
      <c r="AM16" s="33"/>
      <c r="AN16" s="33"/>
      <c r="AO16" s="33"/>
      <c r="AP16" s="33"/>
      <c r="AQ16" s="33"/>
    </row>
    <row r="17" ht="17.25" customHeight="1">
      <c r="A17" s="24"/>
      <c r="B17" s="31"/>
      <c r="C17" s="25"/>
      <c r="D17" s="28"/>
      <c r="E17" s="28"/>
      <c r="F17" s="41"/>
      <c r="G17" s="41"/>
      <c r="H17" s="41"/>
      <c r="I17" s="31"/>
      <c r="J17" s="32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4"/>
      <c r="Y17" s="35"/>
      <c r="Z17" s="35"/>
      <c r="AA17" s="36"/>
      <c r="AB17" s="37"/>
      <c r="AC17" s="37"/>
      <c r="AD17" s="37"/>
      <c r="AE17" s="37"/>
      <c r="AF17" s="37"/>
      <c r="AG17" s="37"/>
      <c r="AH17" s="33"/>
      <c r="AI17" s="33"/>
      <c r="AJ17" s="33"/>
      <c r="AK17" s="33"/>
      <c r="AL17" s="33"/>
      <c r="AM17" s="33"/>
      <c r="AN17" s="33"/>
      <c r="AO17" s="33"/>
      <c r="AP17" s="33"/>
      <c r="AQ17" s="33"/>
    </row>
    <row r="18" ht="17.25" customHeight="1">
      <c r="A18" s="24"/>
      <c r="B18" s="31"/>
      <c r="C18" s="25"/>
      <c r="D18" s="28"/>
      <c r="E18" s="28"/>
      <c r="F18" s="41"/>
      <c r="G18" s="41"/>
      <c r="H18" s="41"/>
      <c r="I18" s="31"/>
      <c r="J18" s="3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4"/>
      <c r="Y18" s="35"/>
      <c r="Z18" s="35"/>
      <c r="AA18" s="36"/>
      <c r="AB18" s="37"/>
      <c r="AC18" s="37"/>
      <c r="AD18" s="37"/>
      <c r="AE18" s="37"/>
      <c r="AF18" s="37"/>
      <c r="AG18" s="37"/>
      <c r="AH18" s="33"/>
      <c r="AI18" s="33"/>
      <c r="AJ18" s="33"/>
      <c r="AK18" s="33"/>
      <c r="AL18" s="33"/>
      <c r="AM18" s="33"/>
      <c r="AN18" s="33"/>
      <c r="AO18" s="33"/>
      <c r="AP18" s="33"/>
      <c r="AQ18" s="33"/>
    </row>
    <row r="19" ht="17.25" customHeight="1">
      <c r="A19" s="24"/>
      <c r="B19" s="31"/>
      <c r="C19" s="25"/>
      <c r="D19" s="28"/>
      <c r="E19" s="28"/>
      <c r="F19" s="41"/>
      <c r="G19" s="41"/>
      <c r="H19" s="41"/>
      <c r="I19" s="31"/>
      <c r="J19" s="32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4"/>
      <c r="Y19" s="35"/>
      <c r="Z19" s="35"/>
      <c r="AA19" s="36"/>
      <c r="AB19" s="37"/>
      <c r="AC19" s="37"/>
      <c r="AD19" s="37"/>
      <c r="AE19" s="37"/>
      <c r="AF19" s="37"/>
      <c r="AG19" s="37"/>
      <c r="AH19" s="33"/>
      <c r="AI19" s="33"/>
      <c r="AJ19" s="33"/>
      <c r="AK19" s="33"/>
      <c r="AL19" s="33"/>
      <c r="AM19" s="33"/>
      <c r="AN19" s="33"/>
      <c r="AO19" s="33"/>
      <c r="AP19" s="33"/>
      <c r="AQ19" s="33"/>
    </row>
    <row r="20" ht="17.25" customHeight="1">
      <c r="A20" s="24"/>
      <c r="B20" s="31"/>
      <c r="C20" s="25"/>
      <c r="D20" s="28"/>
      <c r="E20" s="28"/>
      <c r="F20" s="41"/>
      <c r="G20" s="41"/>
      <c r="H20" s="41"/>
      <c r="I20" s="31"/>
      <c r="J20" s="32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4"/>
      <c r="Y20" s="35"/>
      <c r="Z20" s="35"/>
      <c r="AA20" s="36"/>
      <c r="AB20" s="37"/>
      <c r="AC20" s="37"/>
      <c r="AD20" s="37"/>
      <c r="AE20" s="37"/>
      <c r="AF20" s="37"/>
      <c r="AG20" s="37"/>
      <c r="AH20" s="33"/>
      <c r="AI20" s="33"/>
      <c r="AJ20" s="33"/>
      <c r="AK20" s="33"/>
      <c r="AL20" s="33"/>
      <c r="AM20" s="33"/>
      <c r="AN20" s="33"/>
      <c r="AO20" s="33"/>
      <c r="AP20" s="33"/>
      <c r="AQ20" s="33"/>
    </row>
    <row r="21" ht="17.25" customHeight="1">
      <c r="A21" s="24"/>
      <c r="B21" s="31"/>
      <c r="C21" s="25"/>
      <c r="D21" s="28"/>
      <c r="E21" s="28"/>
      <c r="F21" s="41"/>
      <c r="G21" s="41"/>
      <c r="H21" s="41"/>
      <c r="I21" s="31"/>
      <c r="J21" s="32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4"/>
      <c r="Y21" s="35"/>
      <c r="Z21" s="35"/>
      <c r="AA21" s="36"/>
      <c r="AB21" s="37"/>
      <c r="AC21" s="37"/>
      <c r="AD21" s="37"/>
      <c r="AE21" s="37"/>
      <c r="AF21" s="37"/>
      <c r="AG21" s="37"/>
      <c r="AH21" s="33"/>
      <c r="AI21" s="33"/>
      <c r="AJ21" s="33"/>
      <c r="AK21" s="33"/>
      <c r="AL21" s="33"/>
      <c r="AM21" s="33"/>
      <c r="AN21" s="33"/>
      <c r="AO21" s="33"/>
      <c r="AP21" s="33"/>
      <c r="AQ21" s="33"/>
    </row>
    <row r="22" ht="17.25" customHeight="1">
      <c r="A22" s="24"/>
      <c r="B22" s="31"/>
      <c r="C22" s="25"/>
      <c r="D22" s="28"/>
      <c r="E22" s="28"/>
      <c r="F22" s="41"/>
      <c r="G22" s="41"/>
      <c r="H22" s="41"/>
      <c r="I22" s="31"/>
      <c r="J22" s="32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4"/>
      <c r="Y22" s="35"/>
      <c r="Z22" s="35"/>
      <c r="AA22" s="36"/>
      <c r="AB22" s="37"/>
      <c r="AC22" s="37"/>
      <c r="AD22" s="37"/>
      <c r="AE22" s="37"/>
      <c r="AF22" s="37"/>
      <c r="AG22" s="37"/>
      <c r="AH22" s="33"/>
      <c r="AI22" s="33"/>
      <c r="AJ22" s="33"/>
      <c r="AK22" s="33"/>
      <c r="AL22" s="33"/>
      <c r="AM22" s="33"/>
      <c r="AN22" s="33"/>
      <c r="AO22" s="33"/>
      <c r="AP22" s="33"/>
      <c r="AQ22" s="33"/>
    </row>
    <row r="23" ht="17.25" customHeight="1">
      <c r="A23" s="24"/>
      <c r="B23" s="31"/>
      <c r="C23" s="25"/>
      <c r="D23" s="28"/>
      <c r="E23" s="28"/>
      <c r="F23" s="41"/>
      <c r="G23" s="41"/>
      <c r="H23" s="41"/>
      <c r="I23" s="31"/>
      <c r="J23" s="32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4"/>
      <c r="Y23" s="35"/>
      <c r="Z23" s="35"/>
      <c r="AA23" s="36"/>
      <c r="AB23" s="37"/>
      <c r="AC23" s="37"/>
      <c r="AD23" s="37"/>
      <c r="AE23" s="37"/>
      <c r="AF23" s="37"/>
      <c r="AG23" s="37"/>
      <c r="AH23" s="33"/>
      <c r="AI23" s="33"/>
      <c r="AJ23" s="33"/>
      <c r="AK23" s="33"/>
      <c r="AL23" s="33"/>
      <c r="AM23" s="33"/>
      <c r="AN23" s="33"/>
      <c r="AO23" s="33"/>
      <c r="AP23" s="33"/>
      <c r="AQ23" s="33"/>
    </row>
    <row r="24" ht="17.25" customHeight="1">
      <c r="A24" s="24"/>
      <c r="B24" s="31"/>
      <c r="C24" s="25"/>
      <c r="D24" s="28"/>
      <c r="E24" s="28"/>
      <c r="F24" s="41"/>
      <c r="G24" s="41"/>
      <c r="H24" s="41"/>
      <c r="I24" s="31"/>
      <c r="J24" s="32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4"/>
      <c r="Y24" s="35"/>
      <c r="Z24" s="35"/>
      <c r="AA24" s="36"/>
      <c r="AB24" s="37"/>
      <c r="AC24" s="37"/>
      <c r="AD24" s="37"/>
      <c r="AE24" s="37"/>
      <c r="AF24" s="37"/>
      <c r="AG24" s="37"/>
      <c r="AH24" s="33"/>
      <c r="AI24" s="33"/>
      <c r="AJ24" s="33"/>
      <c r="AK24" s="33"/>
      <c r="AL24" s="33"/>
      <c r="AM24" s="33"/>
      <c r="AN24" s="33"/>
      <c r="AO24" s="33"/>
      <c r="AP24" s="33"/>
      <c r="AQ24" s="33"/>
    </row>
    <row r="25" ht="17.25" customHeight="1">
      <c r="A25" s="24"/>
      <c r="B25" s="31"/>
      <c r="C25" s="25"/>
      <c r="D25" s="28"/>
      <c r="E25" s="28"/>
      <c r="F25" s="41"/>
      <c r="G25" s="41"/>
      <c r="H25" s="41"/>
      <c r="I25" s="31"/>
      <c r="J25" s="32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4"/>
      <c r="Y25" s="35"/>
      <c r="Z25" s="35"/>
      <c r="AA25" s="36"/>
      <c r="AB25" s="37"/>
      <c r="AC25" s="37"/>
      <c r="AD25" s="37"/>
      <c r="AE25" s="37"/>
      <c r="AF25" s="37"/>
      <c r="AG25" s="37"/>
      <c r="AH25" s="33"/>
      <c r="AI25" s="33"/>
      <c r="AJ25" s="33"/>
      <c r="AK25" s="33"/>
      <c r="AL25" s="33"/>
      <c r="AM25" s="33"/>
      <c r="AN25" s="33"/>
      <c r="AO25" s="33"/>
      <c r="AP25" s="33"/>
      <c r="AQ25" s="33"/>
    </row>
    <row r="26" ht="17.25" customHeight="1">
      <c r="A26" s="24"/>
      <c r="B26" s="31"/>
      <c r="C26" s="25"/>
      <c r="D26" s="28"/>
      <c r="E26" s="28"/>
      <c r="F26" s="41"/>
      <c r="G26" s="41"/>
      <c r="H26" s="41"/>
      <c r="I26" s="31"/>
      <c r="J26" s="32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4"/>
      <c r="Y26" s="35"/>
      <c r="Z26" s="35"/>
      <c r="AA26" s="36"/>
      <c r="AB26" s="37"/>
      <c r="AC26" s="37"/>
      <c r="AD26" s="37"/>
      <c r="AE26" s="37"/>
      <c r="AF26" s="37"/>
      <c r="AG26" s="37"/>
      <c r="AH26" s="33"/>
      <c r="AI26" s="33"/>
      <c r="AJ26" s="33"/>
      <c r="AK26" s="33"/>
      <c r="AL26" s="33"/>
      <c r="AM26" s="33"/>
      <c r="AN26" s="33"/>
      <c r="AO26" s="33"/>
      <c r="AP26" s="33"/>
      <c r="AQ26" s="33"/>
    </row>
    <row r="27" ht="17.25" customHeight="1">
      <c r="A27" s="24"/>
      <c r="B27" s="31"/>
      <c r="C27" s="25"/>
      <c r="D27" s="28"/>
      <c r="E27" s="28"/>
      <c r="F27" s="41"/>
      <c r="G27" s="41"/>
      <c r="H27" s="41"/>
      <c r="I27" s="31"/>
      <c r="J27" s="32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4"/>
      <c r="Y27" s="35"/>
      <c r="Z27" s="35"/>
      <c r="AA27" s="36"/>
      <c r="AB27" s="37"/>
      <c r="AC27" s="37"/>
      <c r="AD27" s="37"/>
      <c r="AE27" s="37"/>
      <c r="AF27" s="37"/>
      <c r="AG27" s="37"/>
      <c r="AH27" s="33"/>
      <c r="AI27" s="33"/>
      <c r="AJ27" s="33"/>
      <c r="AK27" s="33"/>
      <c r="AL27" s="33"/>
      <c r="AM27" s="33"/>
      <c r="AN27" s="33"/>
      <c r="AO27" s="33"/>
      <c r="AP27" s="33"/>
      <c r="AQ27" s="33"/>
    </row>
    <row r="28" ht="17.25" customHeight="1">
      <c r="A28" s="24"/>
      <c r="B28" s="31"/>
      <c r="C28" s="25"/>
      <c r="D28" s="28"/>
      <c r="E28" s="28"/>
      <c r="F28" s="41"/>
      <c r="G28" s="41"/>
      <c r="H28" s="41"/>
      <c r="I28" s="31"/>
      <c r="J28" s="32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4"/>
      <c r="Y28" s="35"/>
      <c r="Z28" s="35"/>
      <c r="AA28" s="36"/>
      <c r="AB28" s="37"/>
      <c r="AC28" s="37"/>
      <c r="AD28" s="37"/>
      <c r="AE28" s="37"/>
      <c r="AF28" s="37"/>
      <c r="AG28" s="37"/>
      <c r="AH28" s="33"/>
      <c r="AI28" s="33"/>
      <c r="AJ28" s="33"/>
      <c r="AK28" s="33"/>
      <c r="AL28" s="33"/>
      <c r="AM28" s="33"/>
      <c r="AN28" s="33"/>
      <c r="AO28" s="33"/>
      <c r="AP28" s="33"/>
      <c r="AQ28" s="33"/>
    </row>
    <row r="29" ht="17.25" customHeight="1">
      <c r="A29" s="24"/>
      <c r="B29" s="31"/>
      <c r="C29" s="25"/>
      <c r="D29" s="28"/>
      <c r="E29" s="28"/>
      <c r="F29" s="41"/>
      <c r="G29" s="41"/>
      <c r="H29" s="41"/>
      <c r="I29" s="31"/>
      <c r="J29" s="32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4"/>
      <c r="Y29" s="35"/>
      <c r="Z29" s="35"/>
      <c r="AA29" s="36"/>
      <c r="AB29" s="37"/>
      <c r="AC29" s="37"/>
      <c r="AD29" s="37"/>
      <c r="AE29" s="37"/>
      <c r="AF29" s="37"/>
      <c r="AG29" s="37"/>
      <c r="AH29" s="33"/>
      <c r="AI29" s="33"/>
      <c r="AJ29" s="33"/>
      <c r="AK29" s="33"/>
      <c r="AL29" s="33"/>
      <c r="AM29" s="33"/>
      <c r="AN29" s="33"/>
      <c r="AO29" s="33"/>
      <c r="AP29" s="33"/>
      <c r="AQ29" s="33"/>
    </row>
    <row r="30" ht="17.25" customHeight="1">
      <c r="A30" s="24"/>
      <c r="B30" s="31"/>
      <c r="C30" s="25"/>
      <c r="D30" s="28"/>
      <c r="E30" s="28"/>
      <c r="F30" s="41"/>
      <c r="G30" s="41"/>
      <c r="H30" s="41"/>
      <c r="I30" s="31"/>
      <c r="J30" s="32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4"/>
      <c r="Y30" s="35"/>
      <c r="Z30" s="35"/>
      <c r="AA30" s="36"/>
      <c r="AB30" s="37"/>
      <c r="AC30" s="37"/>
      <c r="AD30" s="37"/>
      <c r="AE30" s="37"/>
      <c r="AF30" s="37"/>
      <c r="AG30" s="37"/>
      <c r="AH30" s="33"/>
      <c r="AI30" s="33"/>
      <c r="AJ30" s="33"/>
      <c r="AK30" s="33"/>
      <c r="AL30" s="33"/>
      <c r="AM30" s="33"/>
      <c r="AN30" s="33"/>
      <c r="AO30" s="33"/>
      <c r="AP30" s="33"/>
      <c r="AQ30" s="33"/>
    </row>
    <row r="31" ht="17.25" customHeight="1">
      <c r="A31" s="44"/>
      <c r="B31" s="45"/>
      <c r="C31" s="46"/>
      <c r="D31" s="46"/>
      <c r="E31" s="46"/>
      <c r="F31" s="47"/>
      <c r="G31" s="47"/>
      <c r="H31" s="47"/>
      <c r="I31" s="45"/>
      <c r="J31" s="48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50"/>
      <c r="Y31" s="51"/>
      <c r="Z31" s="51"/>
      <c r="AA31" s="52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</row>
    <row r="32" ht="17.25" customHeight="1">
      <c r="A32" s="44"/>
      <c r="B32" s="2"/>
      <c r="C32" s="21"/>
      <c r="D32" s="21"/>
      <c r="E32" s="21"/>
      <c r="F32" s="10"/>
      <c r="G32" s="10"/>
      <c r="H32" s="10"/>
      <c r="I32" s="2"/>
      <c r="J32" s="53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5"/>
      <c r="Y32" s="56"/>
      <c r="Z32" s="56"/>
      <c r="AA32" s="57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</row>
    <row r="33" ht="17.25" customHeight="1">
      <c r="A33" s="44"/>
      <c r="B33" s="2"/>
      <c r="C33" s="21"/>
      <c r="D33" s="21"/>
      <c r="E33" s="21"/>
      <c r="F33" s="10"/>
      <c r="G33" s="10"/>
      <c r="H33" s="10"/>
      <c r="I33" s="2"/>
      <c r="J33" s="53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5"/>
      <c r="Y33" s="56"/>
      <c r="Z33" s="56"/>
      <c r="AA33" s="57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</row>
    <row r="34" ht="17.25" customHeight="1">
      <c r="A34" s="44"/>
      <c r="B34" s="2"/>
      <c r="C34" s="21"/>
      <c r="D34" s="21"/>
      <c r="E34" s="21"/>
      <c r="F34" s="10"/>
      <c r="G34" s="10"/>
      <c r="H34" s="10"/>
      <c r="I34" s="2"/>
      <c r="J34" s="53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5"/>
      <c r="Y34" s="56"/>
      <c r="Z34" s="56"/>
      <c r="AA34" s="57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</row>
    <row r="35" ht="17.25" customHeight="1">
      <c r="A35" s="44"/>
      <c r="B35" s="2"/>
      <c r="C35" s="21"/>
      <c r="D35" s="21"/>
      <c r="E35" s="21"/>
      <c r="F35" s="10"/>
      <c r="G35" s="10"/>
      <c r="H35" s="10"/>
      <c r="I35" s="2"/>
      <c r="J35" s="53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5"/>
      <c r="Y35" s="56"/>
      <c r="Z35" s="56"/>
      <c r="AA35" s="57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</row>
    <row r="36" ht="17.25" customHeight="1">
      <c r="A36" s="44"/>
      <c r="B36" s="2"/>
      <c r="C36" s="21"/>
      <c r="D36" s="21"/>
      <c r="E36" s="21"/>
      <c r="F36" s="10"/>
      <c r="G36" s="10"/>
      <c r="H36" s="10"/>
      <c r="I36" s="2"/>
      <c r="J36" s="53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5"/>
      <c r="Y36" s="56"/>
      <c r="Z36" s="56"/>
      <c r="AA36" s="57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</row>
  </sheetData>
  <mergeCells count="3">
    <mergeCell ref="F1:J1"/>
    <mergeCell ref="L1:W1"/>
    <mergeCell ref="AB1:AP1"/>
  </mergeCells>
  <conditionalFormatting sqref="Y4:Y36">
    <cfRule type="cellIs" dxfId="3" priority="1" operator="greaterThanOrEqual">
      <formula>1</formula>
    </cfRule>
  </conditionalFormatting>
  <conditionalFormatting sqref="Y4:Y36">
    <cfRule type="cellIs" dxfId="4" priority="2" operator="lessThan">
      <formula>-5*#REF!</formula>
    </cfRule>
  </conditionalFormatting>
  <conditionalFormatting sqref="D4:E30">
    <cfRule type="cellIs" dxfId="3" priority="3" operator="equal">
      <formula>0</formula>
    </cfRule>
  </conditionalFormatting>
  <conditionalFormatting sqref="K4:W36">
    <cfRule type="cellIs" dxfId="5" priority="4" operator="greaterThanOrEqual">
      <formula>1</formula>
    </cfRule>
  </conditionalFormatting>
  <hyperlinks>
    <hyperlink r:id="rId1" ref="J5"/>
    <hyperlink r:id="rId2" ref="J6"/>
    <hyperlink r:id="rId3" ref="J7"/>
    <hyperlink r:id="rId4" ref="J8"/>
    <hyperlink r:id="rId5" ref="J9"/>
    <hyperlink r:id="rId6" ref="J10"/>
  </hyperlinks>
  <drawing r:id="rId7"/>
  <tableParts count="1">
    <tablePart r:id="rId9"/>
  </tableParts>
</worksheet>
</file>